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_rels/sheet1.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1"/>
  </bookViews>
  <sheets>
    <sheet name="Bootstrapping n=20" sheetId="1" state="visible" r:id="rId3"/>
    <sheet name="Ej Resuelto" sheetId="2" state="visible" r:id="rId4"/>
  </sheets>
  <definedNames>
    <definedName function="false" hidden="false" localSheetId="0" name="solver_adj" vbProcedure="false">'Bootstrapping n=20'!$D$23</definedName>
    <definedName function="false" hidden="false" localSheetId="0" name="solver_cvg" vbProcedure="false">0.0001</definedName>
    <definedName function="false" hidden="false" localSheetId="0" name="solver_drv" vbProcedure="false">1</definedName>
    <definedName function="false" hidden="false" localSheetId="0" name="solver_eng" vbProcedure="false">1</definedName>
    <definedName function="false" hidden="false" localSheetId="0" name="solver_itr" vbProcedure="false">2147483647</definedName>
    <definedName function="false" hidden="false" localSheetId="0" name="solver_lin" vbProcedure="false">2</definedName>
    <definedName function="false" hidden="false" localSheetId="0" name="solver_mip" vbProcedure="false">2147483647</definedName>
    <definedName function="false" hidden="false" localSheetId="0" name="solver_mni" vbProcedure="false">30</definedName>
    <definedName function="false" hidden="false" localSheetId="0" name="solver_mrt" vbProcedure="false">0.075</definedName>
    <definedName function="false" hidden="false" localSheetId="0" name="solver_msl" vbProcedure="false">2</definedName>
    <definedName function="false" hidden="false" localSheetId="0" name="solver_neg" vbProcedure="false">1</definedName>
    <definedName function="false" hidden="false" localSheetId="0" name="solver_nod" vbProcedure="false">2147483647</definedName>
    <definedName function="false" hidden="false" localSheetId="0" name="solver_num" vbProcedure="false">0</definedName>
    <definedName function="false" hidden="false" localSheetId="0" name="solver_opt" vbProcedure="false">'Bootstrapping n=20'!$AN$24</definedName>
    <definedName function="false" hidden="false" localSheetId="0" name="solver_pre" vbProcedure="false">0.000001</definedName>
    <definedName function="false" hidden="false" localSheetId="0" name="solver_rbv" vbProcedure="false">1</definedName>
    <definedName function="false" hidden="false" localSheetId="0" name="solver_rlx" vbProcedure="false">2</definedName>
    <definedName function="false" hidden="false" localSheetId="0" name="solver_rsd" vbProcedure="false">0</definedName>
    <definedName function="false" hidden="false" localSheetId="0" name="solver_scl" vbProcedure="false">1</definedName>
    <definedName function="false" hidden="false" localSheetId="0" name="solver_sho" vbProcedure="false">2</definedName>
    <definedName function="false" hidden="false" localSheetId="0" name="solver_ssz" vbProcedure="false">100</definedName>
    <definedName function="false" hidden="false" localSheetId="0" name="solver_tim" vbProcedure="false">2147483647</definedName>
    <definedName function="false" hidden="false" localSheetId="0" name="solver_tol" vbProcedure="false">0.01</definedName>
    <definedName function="false" hidden="false" localSheetId="0" name="solver_typ" vbProcedure="false">3</definedName>
    <definedName function="false" hidden="false" localSheetId="0" name="solver_val" vbProcedure="false">100</definedName>
    <definedName function="false" hidden="false" localSheetId="0" name="solver_ver" vbProcedure="false">2</definedName>
    <definedName function="false" hidden="false" localSheetId="1" name="solver_adj" vbProcedure="false">'Ej Resuelto'!$D$23</definedName>
    <definedName function="false" hidden="false" localSheetId="1" name="solver_cvg" vbProcedure="false">0.0001</definedName>
    <definedName function="false" hidden="false" localSheetId="1" name="solver_drv" vbProcedure="false">1</definedName>
    <definedName function="false" hidden="false" localSheetId="1" name="solver_eng" vbProcedure="false">1</definedName>
    <definedName function="false" hidden="false" localSheetId="1" name="solver_itr" vbProcedure="false">2147483647</definedName>
    <definedName function="false" hidden="false" localSheetId="1" name="solver_lin" vbProcedure="false">2</definedName>
    <definedName function="false" hidden="false" localSheetId="1" name="solver_mip" vbProcedure="false">2147483647</definedName>
    <definedName function="false" hidden="false" localSheetId="1" name="solver_mni" vbProcedure="false">30</definedName>
    <definedName function="false" hidden="false" localSheetId="1" name="solver_mrt" vbProcedure="false">0.075</definedName>
    <definedName function="false" hidden="false" localSheetId="1" name="solver_msl" vbProcedure="false">2</definedName>
    <definedName function="false" hidden="false" localSheetId="1" name="solver_neg" vbProcedure="false">1</definedName>
    <definedName function="false" hidden="false" localSheetId="1" name="solver_nod" vbProcedure="false">2147483647</definedName>
    <definedName function="false" hidden="false" localSheetId="1" name="solver_num" vbProcedure="false">0</definedName>
    <definedName function="false" hidden="false" localSheetId="1" name="solver_opt" vbProcedure="false">'Ej Resuelto'!$AN$24</definedName>
    <definedName function="false" hidden="false" localSheetId="1" name="solver_pre" vbProcedure="false">0.000001</definedName>
    <definedName function="false" hidden="false" localSheetId="1" name="solver_rbv" vbProcedure="false">1</definedName>
    <definedName function="false" hidden="false" localSheetId="1" name="solver_rlx" vbProcedure="false">2</definedName>
    <definedName function="false" hidden="false" localSheetId="1" name="solver_rsd" vbProcedure="false">0</definedName>
    <definedName function="false" hidden="false" localSheetId="1" name="solver_scl" vbProcedure="false">1</definedName>
    <definedName function="false" hidden="false" localSheetId="1" name="solver_sho" vbProcedure="false">2</definedName>
    <definedName function="false" hidden="false" localSheetId="1" name="solver_ssz" vbProcedure="false">100</definedName>
    <definedName function="false" hidden="false" localSheetId="1" name="solver_tim" vbProcedure="false">2147483647</definedName>
    <definedName function="false" hidden="false" localSheetId="1" name="solver_tol" vbProcedure="false">0.01</definedName>
    <definedName function="false" hidden="false" localSheetId="1" name="solver_typ" vbProcedure="false">3</definedName>
    <definedName function="false" hidden="false" localSheetId="1" name="solver_val" vbProcedure="false">100</definedName>
    <definedName function="false" hidden="false" localSheetId="1" name="solver_ver" vbProcedure="false">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<sst xmlns="http://schemas.openxmlformats.org/spreadsheetml/2006/main" count="83" uniqueCount="43">
  <si>
    <t xml:space="preserve">IMPORTANTE: Solo modificar celdas verdes. Iniciar Macro en celda E4. Si se necesitan menos períodos, mantener tasa constante hasta n=20. La primera vez que se corre suele dar un error pq no encuentra la función solve en el macro una vez abierta la ventana de desarrollo de vba. Poner STOP para detener el macro. Abrir menu TOOLS / REFERENCES y clickear en SOLVER. Cerrar vba y volver a correr macro. Para correr nuevamente hay q borrar todas las celdas (supongo, no se si se sobreescribe!).</t>
  </si>
  <si>
    <t xml:space="preserve">&lt;---- Click!</t>
  </si>
  <si>
    <t xml:space="preserve">n (6-month)</t>
  </si>
  <si>
    <t xml:space="preserve">Years</t>
  </si>
  <si>
    <t xml:space="preserve">YTM (bey)</t>
  </si>
  <si>
    <t xml:space="preserve">Spot (par)</t>
  </si>
  <si>
    <t xml:space="preserve">CF n=3</t>
  </si>
  <si>
    <t xml:space="preserve">PV CFn=3</t>
  </si>
  <si>
    <t xml:space="preserve">CF n=4</t>
  </si>
  <si>
    <t xml:space="preserve">PV CFn=4</t>
  </si>
  <si>
    <t xml:space="preserve">CF n=5</t>
  </si>
  <si>
    <t xml:space="preserve">PV CFn=5</t>
  </si>
  <si>
    <t xml:space="preserve">CF n=6</t>
  </si>
  <si>
    <t xml:space="preserve">PV CFn=6</t>
  </si>
  <si>
    <t xml:space="preserve">CF n=7</t>
  </si>
  <si>
    <t xml:space="preserve">PV CFn=7</t>
  </si>
  <si>
    <t xml:space="preserve">CF n=8</t>
  </si>
  <si>
    <t xml:space="preserve">PV CFn=8</t>
  </si>
  <si>
    <t xml:space="preserve">CF n=9</t>
  </si>
  <si>
    <t xml:space="preserve">PV CFn=9</t>
  </si>
  <si>
    <t xml:space="preserve">CF n=10</t>
  </si>
  <si>
    <t xml:space="preserve">PV CFn=10</t>
  </si>
  <si>
    <t xml:space="preserve">CF n=11</t>
  </si>
  <si>
    <t xml:space="preserve">PV CFn=11</t>
  </si>
  <si>
    <t xml:space="preserve">CF n=12</t>
  </si>
  <si>
    <t xml:space="preserve">PV CFn=12</t>
  </si>
  <si>
    <t xml:space="preserve">CF n=13</t>
  </si>
  <si>
    <t xml:space="preserve">PV CFn=13</t>
  </si>
  <si>
    <t xml:space="preserve">CF n=14</t>
  </si>
  <si>
    <t xml:space="preserve">PV CFn=14</t>
  </si>
  <si>
    <t xml:space="preserve">CF n=15</t>
  </si>
  <si>
    <t xml:space="preserve">PV CFn=15</t>
  </si>
  <si>
    <t xml:space="preserve">CF n=16</t>
  </si>
  <si>
    <t xml:space="preserve">PV CFn=16</t>
  </si>
  <si>
    <t xml:space="preserve">CF n=17</t>
  </si>
  <si>
    <t xml:space="preserve">PV CFn=17</t>
  </si>
  <si>
    <t xml:space="preserve">CF n=18</t>
  </si>
  <si>
    <t xml:space="preserve">PV CFn=18</t>
  </si>
  <si>
    <t xml:space="preserve">CF n=19</t>
  </si>
  <si>
    <t xml:space="preserve">PV CFn=19</t>
  </si>
  <si>
    <t xml:space="preserve">CF n=20</t>
  </si>
  <si>
    <t xml:space="preserve">PV CFn=20</t>
  </si>
  <si>
    <t xml:space="preserve">IMPORTANTE: Solo modificar celdas verdes. Si se necesitan menos períodos, mantener tasa constante hasta n=20. La primera vez que se corre suele dar un error pq no encuentra la función solve en el macro una vez abierta la ventana de desarrollo de vba. Poner STOP para detener el macro. Abrir menu TOOLS / REFERENCES y clickear en SOLVER. Cerrar vba y volver a correr macro.</t>
  </si>
</sst>
</file>

<file path=xl/styles.xml><?xml version="1.0" encoding="utf-8"?>
<styleSheet xmlns="http://schemas.openxmlformats.org/spreadsheetml/2006/main">
  <numFmts count="4">
    <numFmt numFmtId="164" formatCode="General"/>
    <numFmt numFmtId="165" formatCode="0.00%"/>
    <numFmt numFmtId="166" formatCode="0%"/>
    <numFmt numFmtId="167" formatCode="_(* #,##0.00_);_(* \(#,##0.00\);_(* \-??_);_(@_)"/>
  </numFmts>
  <fonts count="5">
    <font>
      <sz val="12"/>
      <color rgb="FF000000"/>
      <name val="Calibri"/>
      <family val="2"/>
      <charset val="1"/>
    </font>
    <font>
      <sz val="10"/>
      <name val="Arial"/>
      <family val="0"/>
    </font>
    <font>
      <sz val="10"/>
      <name val="Arial"/>
      <family val="0"/>
    </font>
    <font>
      <sz val="10"/>
      <name val="Arial"/>
      <family val="0"/>
    </font>
    <font>
      <sz val="12"/>
      <color rgb="FF000000"/>
      <name val="Calibri"/>
      <family val="0"/>
      <charset val="1"/>
    </font>
  </fonts>
  <fills count="4">
    <fill>
      <patternFill patternType="none"/>
    </fill>
    <fill>
      <patternFill patternType="gray125"/>
    </fill>
    <fill>
      <patternFill patternType="solid">
        <fgColor rgb="FF92D050"/>
        <bgColor rgb="FFC0C0C0"/>
      </patternFill>
    </fill>
    <fill>
      <patternFill patternType="solid">
        <fgColor rgb="FFFF0000"/>
        <bgColor rgb="FF993300"/>
      </patternFill>
    </fill>
  </fills>
  <borders count="1">
    <border diagonalUp="false" diagonalDown="false">
      <left/>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cellStyleXfs>
  <cellXfs count="1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2"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5" fontId="0" fillId="2" borderId="0" xfId="0" applyFont="false" applyBorder="false" applyAlignment="false" applyProtection="false">
      <alignment horizontal="general" vertical="bottom" textRotation="0" wrapText="false" indent="0" shrinkToFit="false"/>
      <protection locked="true" hidden="false"/>
    </xf>
    <xf numFmtId="165" fontId="0" fillId="3" borderId="0" xfId="19" applyFont="true" applyBorder="true" applyAlignment="true" applyProtection="true">
      <alignment horizontal="general" vertical="bottom" textRotation="0" wrapText="false" indent="0" shrinkToFit="false"/>
      <protection locked="true" hidden="false"/>
    </xf>
    <xf numFmtId="167" fontId="0" fillId="0" borderId="0" xfId="15" applyFont="true" applyBorder="true" applyAlignment="true" applyProtection="tru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O2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6" activeCellId="0" sqref="D6"/>
    </sheetView>
  </sheetViews>
  <sheetFormatPr defaultRowHeight="16"/>
  <cols>
    <col collapsed="false" hidden="false" max="1" min="1" style="0" width="11.3209302325581"/>
    <col collapsed="false" hidden="false" max="1025" min="2" style="0" width="10.8279069767442"/>
  </cols>
  <sheetData>
    <row r="1" s="2" customFormat="true" ht="27" hidden="false" customHeight="true" outlineLevel="0" collapsed="false">
      <c r="A1" s="1" t="s">
        <v>0</v>
      </c>
      <c r="B1" s="1"/>
      <c r="C1" s="1"/>
      <c r="D1" s="1"/>
      <c r="E1" s="1"/>
      <c r="F1" s="1"/>
      <c r="G1" s="1"/>
      <c r="H1" s="1"/>
      <c r="I1" s="1"/>
      <c r="J1" s="1"/>
      <c r="K1" s="1"/>
      <c r="L1" s="1"/>
      <c r="M1" s="1"/>
      <c r="N1" s="1"/>
      <c r="Q1" s="2" t="s">
        <v>1</v>
      </c>
    </row>
    <row r="2" s="2" customFormat="true" ht="27" hidden="false" customHeight="true" outlineLevel="0" collapsed="false">
      <c r="A2" s="1"/>
      <c r="B2" s="1"/>
      <c r="C2" s="1"/>
      <c r="D2" s="1"/>
      <c r="E2" s="1"/>
      <c r="F2" s="1"/>
      <c r="G2" s="1"/>
      <c r="H2" s="1"/>
      <c r="I2" s="1"/>
      <c r="J2" s="1"/>
      <c r="K2" s="1"/>
      <c r="L2" s="1"/>
      <c r="M2" s="1"/>
      <c r="N2" s="1"/>
      <c r="Q2" s="0"/>
    </row>
    <row r="3" customFormat="false" ht="16" hidden="false" customHeight="false" outlineLevel="0" collapsed="false">
      <c r="A3" s="3" t="s">
        <v>2</v>
      </c>
      <c r="B3" s="3" t="s">
        <v>3</v>
      </c>
      <c r="C3" s="3" t="s">
        <v>4</v>
      </c>
      <c r="D3" s="4" t="s">
        <v>5</v>
      </c>
      <c r="E3" s="5" t="s">
        <v>6</v>
      </c>
      <c r="F3" s="5" t="s">
        <v>7</v>
      </c>
      <c r="G3" s="5" t="s">
        <v>8</v>
      </c>
      <c r="H3" s="5" t="s">
        <v>9</v>
      </c>
      <c r="I3" s="5" t="s">
        <v>10</v>
      </c>
      <c r="J3" s="5" t="s">
        <v>11</v>
      </c>
      <c r="K3" s="5" t="s">
        <v>12</v>
      </c>
      <c r="L3" s="5" t="s">
        <v>13</v>
      </c>
      <c r="M3" s="5" t="s">
        <v>14</v>
      </c>
      <c r="N3" s="5" t="s">
        <v>15</v>
      </c>
      <c r="O3" s="5" t="s">
        <v>16</v>
      </c>
      <c r="P3" s="5" t="s">
        <v>17</v>
      </c>
      <c r="Q3" s="5" t="s">
        <v>18</v>
      </c>
      <c r="R3" s="5" t="s">
        <v>19</v>
      </c>
      <c r="S3" s="5" t="s">
        <v>20</v>
      </c>
      <c r="T3" s="5" t="s">
        <v>21</v>
      </c>
      <c r="U3" s="5" t="s">
        <v>22</v>
      </c>
      <c r="V3" s="5" t="s">
        <v>23</v>
      </c>
      <c r="W3" s="5" t="s">
        <v>24</v>
      </c>
      <c r="X3" s="5" t="s">
        <v>25</v>
      </c>
      <c r="Y3" s="5" t="s">
        <v>26</v>
      </c>
      <c r="Z3" s="5" t="s">
        <v>27</v>
      </c>
      <c r="AA3" s="5" t="s">
        <v>28</v>
      </c>
      <c r="AB3" s="5" t="s">
        <v>29</v>
      </c>
      <c r="AC3" s="5" t="s">
        <v>30</v>
      </c>
      <c r="AD3" s="5" t="s">
        <v>31</v>
      </c>
      <c r="AE3" s="5" t="s">
        <v>32</v>
      </c>
      <c r="AF3" s="5" t="s">
        <v>33</v>
      </c>
      <c r="AG3" s="5" t="s">
        <v>34</v>
      </c>
      <c r="AH3" s="5" t="s">
        <v>35</v>
      </c>
      <c r="AI3" s="5" t="s">
        <v>36</v>
      </c>
      <c r="AJ3" s="5" t="s">
        <v>37</v>
      </c>
      <c r="AK3" s="5" t="s">
        <v>38</v>
      </c>
      <c r="AL3" s="5" t="s">
        <v>39</v>
      </c>
      <c r="AM3" s="5" t="s">
        <v>40</v>
      </c>
      <c r="AN3" s="5" t="s">
        <v>41</v>
      </c>
    </row>
    <row r="4" customFormat="false" ht="16" hidden="false" customHeight="false" outlineLevel="0" collapsed="false">
      <c r="A4" s="3" t="n">
        <v>1</v>
      </c>
      <c r="B4" s="3" t="n">
        <f aca="false">A4/2</f>
        <v>0.5</v>
      </c>
      <c r="C4" s="6" t="n">
        <v>0.059</v>
      </c>
      <c r="D4" s="7" t="n">
        <f aca="false">C4</f>
        <v>0.059</v>
      </c>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row>
    <row r="5" customFormat="false" ht="16" hidden="false" customHeight="false" outlineLevel="0" collapsed="false">
      <c r="A5" s="3" t="n">
        <v>2</v>
      </c>
      <c r="B5" s="3" t="n">
        <f aca="false">A5/2</f>
        <v>1</v>
      </c>
      <c r="C5" s="6" t="n">
        <v>0.065</v>
      </c>
      <c r="D5" s="7" t="n">
        <f aca="false">C5</f>
        <v>0.065</v>
      </c>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row>
    <row r="6" customFormat="false" ht="16" hidden="false" customHeight="false" outlineLevel="0" collapsed="false">
      <c r="A6" s="3" t="n">
        <v>3</v>
      </c>
      <c r="B6" s="3" t="n">
        <f aca="false">A6/2</f>
        <v>1.5</v>
      </c>
      <c r="C6" s="6" t="n">
        <v>0.073</v>
      </c>
      <c r="D6" s="7"/>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row>
    <row r="7" customFormat="false" ht="16" hidden="false" customHeight="false" outlineLevel="0" collapsed="false">
      <c r="A7" s="3" t="n">
        <v>4</v>
      </c>
      <c r="B7" s="3" t="n">
        <f aca="false">A7/2</f>
        <v>2</v>
      </c>
      <c r="C7" s="6" t="n">
        <v>0.08</v>
      </c>
      <c r="D7" s="7"/>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row>
    <row r="8" customFormat="false" ht="16" hidden="false" customHeight="false" outlineLevel="0" collapsed="false">
      <c r="A8" s="3" t="n">
        <v>5</v>
      </c>
      <c r="B8" s="3" t="n">
        <f aca="false">A8/2</f>
        <v>2.5</v>
      </c>
      <c r="C8" s="6" t="n">
        <v>0.087</v>
      </c>
      <c r="D8" s="7"/>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row>
    <row r="9" customFormat="false" ht="16" hidden="false" customHeight="false" outlineLevel="0" collapsed="false">
      <c r="A9" s="3" t="n">
        <v>6</v>
      </c>
      <c r="B9" s="3" t="n">
        <f aca="false">A9/2</f>
        <v>3</v>
      </c>
      <c r="C9" s="6" t="n">
        <v>0.095</v>
      </c>
      <c r="D9" s="7"/>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row>
    <row r="10" customFormat="false" ht="16" hidden="false" customHeight="false" outlineLevel="0" collapsed="false">
      <c r="A10" s="3" t="n">
        <v>7</v>
      </c>
      <c r="B10" s="3" t="n">
        <f aca="false">A10/2</f>
        <v>3.5</v>
      </c>
      <c r="C10" s="6" t="n">
        <v>0.103</v>
      </c>
      <c r="D10" s="7"/>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row>
    <row r="11" customFormat="false" ht="16" hidden="false" customHeight="false" outlineLevel="0" collapsed="false">
      <c r="A11" s="3" t="n">
        <v>8</v>
      </c>
      <c r="B11" s="3" t="n">
        <f aca="false">A11/2</f>
        <v>4</v>
      </c>
      <c r="C11" s="6" t="n">
        <v>0.107</v>
      </c>
      <c r="D11" s="7"/>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row>
    <row r="12" customFormat="false" ht="16" hidden="false" customHeight="false" outlineLevel="0" collapsed="false">
      <c r="A12" s="3" t="n">
        <v>9</v>
      </c>
      <c r="B12" s="3" t="n">
        <f aca="false">A12/2</f>
        <v>4.5</v>
      </c>
      <c r="C12" s="6" t="n">
        <v>0.11</v>
      </c>
      <c r="D12" s="7"/>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row>
    <row r="13" customFormat="false" ht="16" hidden="false" customHeight="false" outlineLevel="0" collapsed="false">
      <c r="A13" s="3" t="n">
        <v>10</v>
      </c>
      <c r="B13" s="3" t="n">
        <f aca="false">A13/2</f>
        <v>5</v>
      </c>
      <c r="C13" s="6" t="n">
        <v>0.113</v>
      </c>
      <c r="D13" s="7"/>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row>
    <row r="14" customFormat="false" ht="16" hidden="false" customHeight="false" outlineLevel="0" collapsed="false">
      <c r="A14" s="3" t="n">
        <v>11</v>
      </c>
      <c r="B14" s="3" t="n">
        <f aca="false">A14/2</f>
        <v>5.5</v>
      </c>
      <c r="C14" s="6" t="n">
        <v>0.113</v>
      </c>
      <c r="D14" s="7"/>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row>
    <row r="15" customFormat="false" ht="16" hidden="false" customHeight="false" outlineLevel="0" collapsed="false">
      <c r="A15" s="3" t="n">
        <v>12</v>
      </c>
      <c r="B15" s="3" t="n">
        <f aca="false">A15/2</f>
        <v>6</v>
      </c>
      <c r="C15" s="6" t="n">
        <v>0.113</v>
      </c>
      <c r="D15" s="7"/>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row>
    <row r="16" customFormat="false" ht="16" hidden="false" customHeight="false" outlineLevel="0" collapsed="false">
      <c r="A16" s="3" t="n">
        <v>13</v>
      </c>
      <c r="B16" s="3" t="n">
        <f aca="false">A16/2</f>
        <v>6.5</v>
      </c>
      <c r="C16" s="6" t="n">
        <v>0.113</v>
      </c>
      <c r="D16" s="7"/>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row>
    <row r="17" customFormat="false" ht="16" hidden="false" customHeight="false" outlineLevel="0" collapsed="false">
      <c r="A17" s="3" t="n">
        <v>14</v>
      </c>
      <c r="B17" s="3" t="n">
        <f aca="false">A17/2</f>
        <v>7</v>
      </c>
      <c r="C17" s="6" t="n">
        <v>0.113</v>
      </c>
      <c r="D17" s="7"/>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row>
    <row r="18" customFormat="false" ht="16" hidden="false" customHeight="false" outlineLevel="0" collapsed="false">
      <c r="A18" s="3" t="n">
        <v>15</v>
      </c>
      <c r="B18" s="3" t="n">
        <f aca="false">A18/2</f>
        <v>7.5</v>
      </c>
      <c r="C18" s="6" t="n">
        <v>0.113</v>
      </c>
      <c r="D18" s="7"/>
      <c r="AB18" s="9"/>
      <c r="AC18" s="8"/>
      <c r="AD18" s="8"/>
      <c r="AE18" s="8"/>
      <c r="AF18" s="8"/>
      <c r="AG18" s="8"/>
      <c r="AH18" s="8"/>
      <c r="AI18" s="8"/>
      <c r="AJ18" s="8"/>
      <c r="AK18" s="8"/>
      <c r="AL18" s="8"/>
      <c r="AM18" s="8"/>
      <c r="AN18" s="8"/>
    </row>
    <row r="19" customFormat="false" ht="16" hidden="false" customHeight="false" outlineLevel="0" collapsed="false">
      <c r="A19" s="3" t="n">
        <v>16</v>
      </c>
      <c r="B19" s="3" t="n">
        <f aca="false">A19/2</f>
        <v>8</v>
      </c>
      <c r="C19" s="6" t="n">
        <v>0.113</v>
      </c>
      <c r="D19" s="7"/>
      <c r="AD19" s="9"/>
      <c r="AE19" s="8"/>
      <c r="AF19" s="8"/>
      <c r="AG19" s="8"/>
      <c r="AH19" s="8"/>
      <c r="AI19" s="8"/>
      <c r="AJ19" s="8"/>
      <c r="AK19" s="8"/>
      <c r="AL19" s="8"/>
      <c r="AM19" s="8"/>
      <c r="AN19" s="8"/>
    </row>
    <row r="20" customFormat="false" ht="16" hidden="false" customHeight="false" outlineLevel="0" collapsed="false">
      <c r="A20" s="3" t="n">
        <v>17</v>
      </c>
      <c r="B20" s="3" t="n">
        <f aca="false">A20/2</f>
        <v>8.5</v>
      </c>
      <c r="C20" s="6" t="n">
        <v>0.113</v>
      </c>
      <c r="D20" s="7"/>
      <c r="AF20" s="9"/>
      <c r="AG20" s="8"/>
      <c r="AH20" s="8"/>
      <c r="AI20" s="8"/>
      <c r="AJ20" s="8"/>
      <c r="AK20" s="8"/>
      <c r="AL20" s="8"/>
      <c r="AM20" s="8"/>
      <c r="AN20" s="8"/>
    </row>
    <row r="21" customFormat="false" ht="16" hidden="false" customHeight="false" outlineLevel="0" collapsed="false">
      <c r="A21" s="3" t="n">
        <v>18</v>
      </c>
      <c r="B21" s="3" t="n">
        <f aca="false">A21/2</f>
        <v>9</v>
      </c>
      <c r="C21" s="6" t="n">
        <v>0.113</v>
      </c>
      <c r="D21" s="7"/>
      <c r="AH21" s="9"/>
      <c r="AI21" s="8"/>
      <c r="AJ21" s="8"/>
      <c r="AK21" s="8"/>
      <c r="AL21" s="8"/>
      <c r="AM21" s="8"/>
      <c r="AN21" s="8"/>
    </row>
    <row r="22" customFormat="false" ht="16" hidden="false" customHeight="false" outlineLevel="0" collapsed="false">
      <c r="A22" s="3" t="n">
        <v>19</v>
      </c>
      <c r="B22" s="3" t="n">
        <f aca="false">A22/2</f>
        <v>9.5</v>
      </c>
      <c r="C22" s="6" t="n">
        <v>0.113</v>
      </c>
      <c r="D22" s="7"/>
      <c r="AJ22" s="9"/>
      <c r="AK22" s="8"/>
      <c r="AL22" s="8"/>
      <c r="AM22" s="8"/>
      <c r="AN22" s="8"/>
    </row>
    <row r="23" customFormat="false" ht="16" hidden="false" customHeight="false" outlineLevel="0" collapsed="false">
      <c r="A23" s="3" t="n">
        <v>20</v>
      </c>
      <c r="B23" s="3" t="n">
        <f aca="false">A23/2</f>
        <v>10</v>
      </c>
      <c r="C23" s="6" t="n">
        <v>0.113</v>
      </c>
      <c r="D23" s="7"/>
      <c r="AL23" s="9"/>
      <c r="AM23" s="8"/>
      <c r="AN23" s="8"/>
    </row>
  </sheetData>
  <mergeCells count="1">
    <mergeCell ref="A1:N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AO24"/>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I13" activeCellId="0" sqref="I13"/>
    </sheetView>
  </sheetViews>
  <sheetFormatPr defaultRowHeight="16"/>
  <cols>
    <col collapsed="false" hidden="false" max="1" min="1" style="0" width="11.3209302325581"/>
    <col collapsed="false" hidden="false" max="1025" min="2" style="0" width="10.8279069767442"/>
  </cols>
  <sheetData>
    <row r="1" s="2" customFormat="true" ht="27" hidden="false" customHeight="true" outlineLevel="0" collapsed="false">
      <c r="A1" s="1" t="s">
        <v>42</v>
      </c>
      <c r="B1" s="1"/>
      <c r="C1" s="1"/>
      <c r="D1" s="1"/>
      <c r="E1" s="1"/>
      <c r="F1" s="1"/>
      <c r="G1" s="1"/>
      <c r="H1" s="1"/>
      <c r="I1" s="1"/>
      <c r="J1" s="1"/>
    </row>
    <row r="2" s="2" customFormat="true" ht="27" hidden="false" customHeight="true" outlineLevel="0" collapsed="false">
      <c r="A2" s="1"/>
      <c r="B2" s="1"/>
      <c r="C2" s="1"/>
      <c r="D2" s="1"/>
      <c r="E2" s="1"/>
      <c r="F2" s="1"/>
      <c r="G2" s="1"/>
      <c r="H2" s="1"/>
      <c r="I2" s="1"/>
      <c r="J2" s="1"/>
    </row>
    <row r="3" customFormat="false" ht="16" hidden="false" customHeight="false" outlineLevel="0" collapsed="false">
      <c r="A3" s="3" t="s">
        <v>2</v>
      </c>
      <c r="B3" s="3" t="s">
        <v>3</v>
      </c>
      <c r="C3" s="3" t="s">
        <v>4</v>
      </c>
      <c r="D3" s="4" t="s">
        <v>5</v>
      </c>
      <c r="E3" s="5" t="s">
        <v>6</v>
      </c>
      <c r="F3" s="5" t="s">
        <v>7</v>
      </c>
      <c r="G3" s="5" t="s">
        <v>8</v>
      </c>
      <c r="H3" s="5" t="s">
        <v>9</v>
      </c>
      <c r="I3" s="5" t="s">
        <v>10</v>
      </c>
      <c r="J3" s="5" t="s">
        <v>11</v>
      </c>
      <c r="K3" s="5" t="s">
        <v>12</v>
      </c>
      <c r="L3" s="5" t="s">
        <v>13</v>
      </c>
      <c r="M3" s="5" t="s">
        <v>14</v>
      </c>
      <c r="N3" s="5" t="s">
        <v>15</v>
      </c>
      <c r="O3" s="5" t="s">
        <v>16</v>
      </c>
      <c r="P3" s="5" t="s">
        <v>17</v>
      </c>
      <c r="Q3" s="5" t="s">
        <v>18</v>
      </c>
      <c r="R3" s="5" t="s">
        <v>19</v>
      </c>
      <c r="S3" s="5" t="s">
        <v>20</v>
      </c>
      <c r="T3" s="5" t="s">
        <v>21</v>
      </c>
      <c r="U3" s="5" t="s">
        <v>22</v>
      </c>
      <c r="V3" s="5" t="s">
        <v>23</v>
      </c>
      <c r="W3" s="5" t="s">
        <v>24</v>
      </c>
      <c r="X3" s="5" t="s">
        <v>25</v>
      </c>
      <c r="Y3" s="5" t="s">
        <v>26</v>
      </c>
      <c r="Z3" s="5" t="s">
        <v>27</v>
      </c>
      <c r="AA3" s="5" t="s">
        <v>28</v>
      </c>
      <c r="AB3" s="5" t="s">
        <v>29</v>
      </c>
      <c r="AC3" s="5" t="s">
        <v>30</v>
      </c>
      <c r="AD3" s="5" t="s">
        <v>31</v>
      </c>
      <c r="AE3" s="5" t="s">
        <v>32</v>
      </c>
      <c r="AF3" s="5" t="s">
        <v>33</v>
      </c>
      <c r="AG3" s="5" t="s">
        <v>34</v>
      </c>
      <c r="AH3" s="5" t="s">
        <v>35</v>
      </c>
      <c r="AI3" s="5" t="s">
        <v>36</v>
      </c>
      <c r="AJ3" s="5" t="s">
        <v>37</v>
      </c>
      <c r="AK3" s="5" t="s">
        <v>38</v>
      </c>
      <c r="AL3" s="5" t="s">
        <v>39</v>
      </c>
      <c r="AM3" s="5" t="s">
        <v>40</v>
      </c>
      <c r="AN3" s="5" t="s">
        <v>41</v>
      </c>
    </row>
    <row r="4" customFormat="false" ht="16" hidden="false" customHeight="false" outlineLevel="0" collapsed="false">
      <c r="A4" s="3" t="n">
        <v>1</v>
      </c>
      <c r="B4" s="3" t="n">
        <f aca="false">A4/2</f>
        <v>0.5</v>
      </c>
      <c r="C4" s="6" t="n">
        <v>0.059</v>
      </c>
      <c r="D4" s="7" t="n">
        <f aca="false">C4</f>
        <v>0.059</v>
      </c>
      <c r="E4" s="8" t="n">
        <f aca="false">$C$6/2*100</f>
        <v>3.65</v>
      </c>
      <c r="F4" s="8" t="n">
        <f aca="false">E4/(1+D4/2)^A4</f>
        <v>3.54541039339485</v>
      </c>
      <c r="G4" s="8" t="n">
        <f aca="false">$C$7*100/2</f>
        <v>4</v>
      </c>
      <c r="H4" s="8" t="n">
        <f aca="false">G4/(1+D4/2)^A4</f>
        <v>3.88538125303545</v>
      </c>
      <c r="I4" s="8" t="n">
        <f aca="false">$C$8/2*100</f>
        <v>4.35</v>
      </c>
      <c r="J4" s="8" t="n">
        <f aca="false">I4/(1+D4/2)^A4</f>
        <v>4.22535211267606</v>
      </c>
      <c r="K4" s="8" t="n">
        <f aca="false">$C$9/2*100</f>
        <v>4.75</v>
      </c>
      <c r="L4" s="8" t="n">
        <f aca="false">K4/(1+D4/2)^A4</f>
        <v>4.6138902379796</v>
      </c>
      <c r="M4" s="8" t="n">
        <f aca="false">$C$10/2*100</f>
        <v>5.15</v>
      </c>
      <c r="N4" s="8" t="n">
        <f aca="false">M4/(1+D4/2)^A4</f>
        <v>5.00242836328315</v>
      </c>
      <c r="O4" s="8" t="n">
        <f aca="false">$C$11/2*100</f>
        <v>5.35</v>
      </c>
      <c r="P4" s="8" t="n">
        <f aca="false">O4/(1+D4/2)^A4</f>
        <v>5.19669742593492</v>
      </c>
      <c r="Q4" s="8" t="n">
        <f aca="false">$C$12/2*100</f>
        <v>5.5</v>
      </c>
      <c r="R4" s="8" t="n">
        <f aca="false">Q4/(1+D4/2)^A4</f>
        <v>5.34239922292375</v>
      </c>
      <c r="S4" s="8" t="n">
        <f aca="false">$C$13/2*100</f>
        <v>5.65</v>
      </c>
      <c r="T4" s="8" t="n">
        <f aca="false">S4/(1+D4/2)^A4</f>
        <v>5.48810101991258</v>
      </c>
      <c r="U4" s="8" t="n">
        <f aca="false">$C$14/2*100</f>
        <v>5.8</v>
      </c>
      <c r="V4" s="8" t="n">
        <f aca="false">U4/(1+D4/2)^A4</f>
        <v>5.63380281690141</v>
      </c>
      <c r="W4" s="8" t="n">
        <f aca="false">$C$15/2*100</f>
        <v>5.95</v>
      </c>
      <c r="X4" s="8" t="n">
        <f aca="false">W4/(1+D4/2)^A4</f>
        <v>5.77950461389024</v>
      </c>
      <c r="Y4" s="8" t="n">
        <f aca="false">$C$16/2*100</f>
        <v>6.1</v>
      </c>
      <c r="Z4" s="8" t="n">
        <f aca="false">Y4/(1+D4/2)^A4</f>
        <v>5.92520641087907</v>
      </c>
      <c r="AA4" s="8" t="n">
        <f aca="false">$C$17/2*100</f>
        <v>6.25</v>
      </c>
      <c r="AB4" s="8" t="n">
        <f aca="false">AA4/(1+D4/2)^A4</f>
        <v>6.0709082078679</v>
      </c>
      <c r="AC4" s="8" t="n">
        <f aca="false">$C$18/2*100</f>
        <v>6.4</v>
      </c>
      <c r="AD4" s="8" t="n">
        <f aca="false">AC4/(1+D4/2)^A4</f>
        <v>6.21661000485673</v>
      </c>
      <c r="AE4" s="8" t="n">
        <f aca="false">$C$19/2*100</f>
        <v>6.55</v>
      </c>
      <c r="AF4" s="8" t="n">
        <f aca="false">AE4/(1+D4/2)^A4</f>
        <v>6.36231180184556</v>
      </c>
      <c r="AG4" s="8" t="n">
        <f aca="false">$C$20/2*100</f>
        <v>6.7</v>
      </c>
      <c r="AH4" s="8" t="n">
        <f aca="false">AG4/(1+D4/2)^A4</f>
        <v>6.50801359883439</v>
      </c>
      <c r="AI4" s="8" t="n">
        <f aca="false">$C$21/2*100</f>
        <v>6.85</v>
      </c>
      <c r="AJ4" s="8" t="n">
        <f aca="false">AI4/(1+D4/2)^A4</f>
        <v>6.65371539582322</v>
      </c>
      <c r="AK4" s="8" t="n">
        <f aca="false">$C$22/2*100</f>
        <v>7</v>
      </c>
      <c r="AL4" s="8" t="n">
        <f aca="false">AK4/(1+D4/2)^A4</f>
        <v>6.79941719281204</v>
      </c>
      <c r="AM4" s="8" t="n">
        <f aca="false">$C$23/2*100</f>
        <v>7.15</v>
      </c>
      <c r="AN4" s="8" t="n">
        <f aca="false">AM4/(1+D4/2)^A4</f>
        <v>6.94511898980087</v>
      </c>
      <c r="AO4" s="8"/>
    </row>
    <row r="5" customFormat="false" ht="16" hidden="false" customHeight="false" outlineLevel="0" collapsed="false">
      <c r="A5" s="3" t="n">
        <v>2</v>
      </c>
      <c r="B5" s="3" t="n">
        <f aca="false">A5/2</f>
        <v>1</v>
      </c>
      <c r="C5" s="6" t="n">
        <v>0.065</v>
      </c>
      <c r="D5" s="7" t="n">
        <f aca="false">C5</f>
        <v>0.065</v>
      </c>
      <c r="E5" s="8" t="n">
        <f aca="false">$C$6/2*100</f>
        <v>3.65</v>
      </c>
      <c r="F5" s="8" t="n">
        <f aca="false">E5/(1+DF5/2)^A5</f>
        <v>3.65</v>
      </c>
      <c r="G5" s="8" t="n">
        <f aca="false">$C$7*100/2</f>
        <v>4</v>
      </c>
      <c r="H5" s="8" t="n">
        <f aca="false">G5/(1+D5/2)^A5</f>
        <v>3.75214722487674</v>
      </c>
      <c r="I5" s="8" t="n">
        <f aca="false">$C$8/2*100</f>
        <v>4.35</v>
      </c>
      <c r="J5" s="8" t="n">
        <f aca="false">I5/(1+D5/2)^A5</f>
        <v>4.08046010705345</v>
      </c>
      <c r="K5" s="8" t="n">
        <f aca="false">$C$9/2*100</f>
        <v>4.75</v>
      </c>
      <c r="L5" s="8" t="n">
        <f aca="false">K5/(1+D5/2)^A5</f>
        <v>4.45567482954113</v>
      </c>
      <c r="M5" s="8" t="n">
        <f aca="false">$C$10/2*100</f>
        <v>5.15</v>
      </c>
      <c r="N5" s="8" t="n">
        <f aca="false">M5/(1+D5/2)^A5</f>
        <v>4.8308895520288</v>
      </c>
      <c r="O5" s="8" t="n">
        <f aca="false">$C$11/2*100</f>
        <v>5.35</v>
      </c>
      <c r="P5" s="8" t="n">
        <f aca="false">O5/(1+D5/2)^A5</f>
        <v>5.01849691327263</v>
      </c>
      <c r="Q5" s="8" t="n">
        <f aca="false">$C$12/2*100</f>
        <v>5.5</v>
      </c>
      <c r="R5" s="8" t="n">
        <f aca="false">Q5/(1+D5/2)^A5</f>
        <v>5.15920243420551</v>
      </c>
      <c r="S5" s="8" t="n">
        <f aca="false">$C$13/2*100</f>
        <v>5.65</v>
      </c>
      <c r="T5" s="8" t="n">
        <f aca="false">S5/(1+D5/2)^A5</f>
        <v>5.29990795513839</v>
      </c>
      <c r="U5" s="8" t="n">
        <f aca="false">$C$14/2*100</f>
        <v>5.8</v>
      </c>
      <c r="V5" s="8" t="n">
        <f aca="false">U5/(1+D5/2)^A5</f>
        <v>5.44061347607127</v>
      </c>
      <c r="W5" s="8" t="n">
        <f aca="false">$C$15/2*100</f>
        <v>5.95</v>
      </c>
      <c r="X5" s="8" t="n">
        <f aca="false">W5/(1+D5/2)^A5</f>
        <v>5.58131899700415</v>
      </c>
      <c r="Y5" s="8" t="n">
        <f aca="false">$C$16/2*100</f>
        <v>6.1</v>
      </c>
      <c r="Z5" s="8" t="n">
        <f aca="false">Y5/(1+D5/2)^A5</f>
        <v>5.72202451793702</v>
      </c>
      <c r="AA5" s="8" t="n">
        <f aca="false">$C$17/2*100</f>
        <v>6.25</v>
      </c>
      <c r="AB5" s="8" t="n">
        <f aca="false">AA5/(1+D5/2)^A5</f>
        <v>5.8627300388699</v>
      </c>
      <c r="AC5" s="8" t="n">
        <f aca="false">$C$18/2*100</f>
        <v>6.4</v>
      </c>
      <c r="AD5" s="8" t="n">
        <f aca="false">AC5/(1+D5/2)^A5</f>
        <v>6.00343555980278</v>
      </c>
      <c r="AE5" s="8" t="n">
        <f aca="false">$C$19/2*100</f>
        <v>6.55</v>
      </c>
      <c r="AF5" s="8" t="n">
        <f aca="false">AE5/(1+D5/2)^A5</f>
        <v>6.14414108073566</v>
      </c>
      <c r="AG5" s="8" t="n">
        <f aca="false">$C$20/2*100</f>
        <v>6.7</v>
      </c>
      <c r="AH5" s="8" t="n">
        <f aca="false">AG5/(1+D5/2)^A5</f>
        <v>6.28484660166853</v>
      </c>
      <c r="AI5" s="8" t="n">
        <f aca="false">$C$21/2*100</f>
        <v>6.85</v>
      </c>
      <c r="AJ5" s="8" t="n">
        <f aca="false">AI5/(1+D5/2)^A5</f>
        <v>6.42555212260141</v>
      </c>
      <c r="AK5" s="8" t="n">
        <f aca="false">$C$22/2*100</f>
        <v>7</v>
      </c>
      <c r="AL5" s="8" t="n">
        <f aca="false">AK5/(1+D5/2)^A5</f>
        <v>6.56625764353429</v>
      </c>
      <c r="AM5" s="8" t="n">
        <f aca="false">$C$23/2*100</f>
        <v>7.15</v>
      </c>
      <c r="AN5" s="8" t="n">
        <f aca="false">AM5/(1+D5/2)^A5</f>
        <v>6.70696316446717</v>
      </c>
      <c r="AO5" s="8"/>
    </row>
    <row r="6" customFormat="false" ht="15" hidden="false" customHeight="false" outlineLevel="0" collapsed="false">
      <c r="A6" s="3" t="n">
        <v>3</v>
      </c>
      <c r="B6" s="3" t="n">
        <f aca="false">A6/2</f>
        <v>1.5</v>
      </c>
      <c r="C6" s="6" t="n">
        <v>0.073</v>
      </c>
      <c r="D6" s="7" t="n">
        <v>0.0733738809770312</v>
      </c>
      <c r="E6" s="8" t="n">
        <f aca="false">100*(1+$C$6/2)</f>
        <v>103.65</v>
      </c>
      <c r="F6" s="8" t="n">
        <f aca="false">E6/(1+D6/2)^A6</f>
        <v>93.0307288819198</v>
      </c>
      <c r="G6" s="8" t="n">
        <f aca="false">$C$7*100/2</f>
        <v>4</v>
      </c>
      <c r="H6" s="8" t="n">
        <f aca="false">G6/(1+D6/2)^A6</f>
        <v>3.59018731816381</v>
      </c>
      <c r="I6" s="8" t="n">
        <f aca="false">$C$8/2*100</f>
        <v>4.35</v>
      </c>
      <c r="J6" s="8" t="n">
        <f aca="false">I6/(1+D6/2)^A6</f>
        <v>3.90432870850315</v>
      </c>
      <c r="K6" s="8" t="n">
        <f aca="false">$C$9/2*100</f>
        <v>4.75</v>
      </c>
      <c r="L6" s="8" t="n">
        <f aca="false">K6/(1+D6/2)^A6</f>
        <v>4.26334744031953</v>
      </c>
      <c r="M6" s="8" t="n">
        <f aca="false">$C$10/2*100</f>
        <v>5.15</v>
      </c>
      <c r="N6" s="8" t="n">
        <f aca="false">M6/(1+D6/2)^A6</f>
        <v>4.62236617213591</v>
      </c>
      <c r="O6" s="8" t="n">
        <f aca="false">$C$11/2*100</f>
        <v>5.35</v>
      </c>
      <c r="P6" s="8" t="n">
        <f aca="false">O6/(1+D6/2)^A6</f>
        <v>4.8018755380441</v>
      </c>
      <c r="Q6" s="8" t="n">
        <f aca="false">$C$12/2*100</f>
        <v>5.5</v>
      </c>
      <c r="R6" s="8" t="n">
        <f aca="false">Q6/(1+D6/2)^A6</f>
        <v>4.93650756247524</v>
      </c>
      <c r="S6" s="8" t="n">
        <f aca="false">$C$13/2*100</f>
        <v>5.65</v>
      </c>
      <c r="T6" s="8" t="n">
        <f aca="false">S6/(1+D6/2)^A6</f>
        <v>5.07113958690639</v>
      </c>
      <c r="U6" s="8" t="n">
        <f aca="false">$C$14/2*100</f>
        <v>5.8</v>
      </c>
      <c r="V6" s="8" t="n">
        <f aca="false">U6/(1+D6/2)^A6</f>
        <v>5.20577161133753</v>
      </c>
      <c r="W6" s="8" t="n">
        <f aca="false">$C$15/2*100</f>
        <v>5.95</v>
      </c>
      <c r="X6" s="8" t="n">
        <f aca="false">W6/(1+D6/2)^A6</f>
        <v>5.34040363576867</v>
      </c>
      <c r="Y6" s="8" t="n">
        <f aca="false">$C$16/2*100</f>
        <v>6.1</v>
      </c>
      <c r="Z6" s="8" t="n">
        <f aca="false">Y6/(1+D6/2)^A6</f>
        <v>5.47503566019981</v>
      </c>
      <c r="AA6" s="8" t="n">
        <f aca="false">$C$17/2*100</f>
        <v>6.25</v>
      </c>
      <c r="AB6" s="8" t="n">
        <f aca="false">AA6/(1+D6/2)^A6</f>
        <v>5.60966768463096</v>
      </c>
      <c r="AC6" s="8" t="n">
        <f aca="false">$C$18/2*100</f>
        <v>6.4</v>
      </c>
      <c r="AD6" s="8" t="n">
        <f aca="false">AC6/(1+D6/2)^A6</f>
        <v>5.7442997090621</v>
      </c>
      <c r="AE6" s="8" t="n">
        <f aca="false">$C$19/2*100</f>
        <v>6.55</v>
      </c>
      <c r="AF6" s="8" t="n">
        <f aca="false">AE6/(1+D6/2)^A6</f>
        <v>5.87893173349324</v>
      </c>
      <c r="AG6" s="8" t="n">
        <f aca="false">$C$20/2*100</f>
        <v>6.7</v>
      </c>
      <c r="AH6" s="8" t="n">
        <f aca="false">AG6/(1+D6/2)^A6</f>
        <v>6.01356375792439</v>
      </c>
      <c r="AI6" s="8" t="n">
        <f aca="false">$C$21/2*100</f>
        <v>6.85</v>
      </c>
      <c r="AJ6" s="8" t="n">
        <f aca="false">AI6/(1+D6/2)^A6</f>
        <v>6.14819578235553</v>
      </c>
      <c r="AK6" s="8" t="n">
        <f aca="false">$C$22/2*100</f>
        <v>7</v>
      </c>
      <c r="AL6" s="8" t="n">
        <f aca="false">AK6/(1+D6/2)^A6</f>
        <v>6.28282780678667</v>
      </c>
      <c r="AM6" s="8" t="n">
        <f aca="false">$C$23/2*100</f>
        <v>7.15</v>
      </c>
      <c r="AN6" s="8" t="n">
        <f aca="false">AM6/(1+D6/2)^A6</f>
        <v>6.41745983121782</v>
      </c>
      <c r="AO6" s="8"/>
    </row>
    <row r="7" customFormat="false" ht="15" hidden="false" customHeight="false" outlineLevel="0" collapsed="false">
      <c r="A7" s="3" t="n">
        <v>4</v>
      </c>
      <c r="B7" s="3" t="n">
        <f aca="false">A7/2</f>
        <v>2</v>
      </c>
      <c r="C7" s="6" t="n">
        <v>0.08</v>
      </c>
      <c r="D7" s="7" t="n">
        <v>0.0807457178950812</v>
      </c>
      <c r="E7" s="8"/>
      <c r="F7" s="8" t="n">
        <f aca="false">SUM(F4:F6)</f>
        <v>100.226139275315</v>
      </c>
      <c r="G7" s="8" t="n">
        <f aca="false">$C$7*100/2+100</f>
        <v>104</v>
      </c>
      <c r="H7" s="8" t="n">
        <f aca="false">G7/(1+D7/2)^A7</f>
        <v>88.7722614962261</v>
      </c>
      <c r="I7" s="8" t="n">
        <f aca="false">$C$8/2*100</f>
        <v>4.35</v>
      </c>
      <c r="J7" s="8" t="n">
        <f aca="false">I7/(1+D7/2)^A7</f>
        <v>3.71307055296715</v>
      </c>
      <c r="K7" s="8" t="n">
        <f aca="false">$C$9/2*100</f>
        <v>4.75</v>
      </c>
      <c r="L7" s="8" t="n">
        <f aca="false">K7/(1+D7/2)^A7</f>
        <v>4.05450232795264</v>
      </c>
      <c r="M7" s="8" t="n">
        <f aca="false">$C$10/2*100</f>
        <v>5.15</v>
      </c>
      <c r="N7" s="8" t="n">
        <f aca="false">M7/(1+D7/2)^A7</f>
        <v>4.39593410293812</v>
      </c>
      <c r="O7" s="8" t="n">
        <f aca="false">$C$11/2*100</f>
        <v>5.35</v>
      </c>
      <c r="P7" s="8" t="n">
        <f aca="false">O7/(1+D7/2)^A7</f>
        <v>4.56664999043086</v>
      </c>
      <c r="Q7" s="8" t="n">
        <f aca="false">$C$12/2*100</f>
        <v>5.5</v>
      </c>
      <c r="R7" s="8" t="n">
        <f aca="false">Q7/(1+D7/2)^A7</f>
        <v>4.69468690605042</v>
      </c>
      <c r="S7" s="8" t="n">
        <f aca="false">$C$13/2*100</f>
        <v>5.65</v>
      </c>
      <c r="T7" s="8" t="n">
        <f aca="false">S7/(1+D7/2)^A7</f>
        <v>4.82272382166998</v>
      </c>
      <c r="U7" s="8" t="n">
        <f aca="false">$C$14/2*100</f>
        <v>5.8</v>
      </c>
      <c r="V7" s="8" t="n">
        <f aca="false">U7/(1+D7/2)^A7</f>
        <v>4.95076073728954</v>
      </c>
      <c r="W7" s="8" t="n">
        <f aca="false">$C$15/2*100</f>
        <v>5.95</v>
      </c>
      <c r="X7" s="8" t="n">
        <f aca="false">W7/(1+D7/2)^A7</f>
        <v>5.07879765290909</v>
      </c>
      <c r="Y7" s="8" t="n">
        <f aca="false">$C$16/2*100</f>
        <v>6.1</v>
      </c>
      <c r="Z7" s="8" t="n">
        <f aca="false">Y7/(1+D7/2)^A7</f>
        <v>5.20683456852865</v>
      </c>
      <c r="AA7" s="8" t="n">
        <f aca="false">$C$17/2*100</f>
        <v>6.25</v>
      </c>
      <c r="AB7" s="8" t="n">
        <f aca="false">AA7/(1+D7/2)^A7</f>
        <v>5.33487148414821</v>
      </c>
      <c r="AC7" s="8" t="n">
        <f aca="false">$C$18/2*100</f>
        <v>6.4</v>
      </c>
      <c r="AD7" s="8" t="n">
        <f aca="false">AC7/(1+D7/2)^A7</f>
        <v>5.46290839976776</v>
      </c>
      <c r="AE7" s="8" t="n">
        <f aca="false">$C$19/2*100</f>
        <v>6.55</v>
      </c>
      <c r="AF7" s="8" t="n">
        <f aca="false">AE7/(1+D7/2)^A7</f>
        <v>5.59094531538732</v>
      </c>
      <c r="AG7" s="8" t="n">
        <f aca="false">$C$20/2*100</f>
        <v>6.7</v>
      </c>
      <c r="AH7" s="8" t="n">
        <f aca="false">AG7/(1+D7/2)^A7</f>
        <v>5.71898223100688</v>
      </c>
      <c r="AI7" s="8" t="n">
        <f aca="false">$C$21/2*100</f>
        <v>6.85</v>
      </c>
      <c r="AJ7" s="8" t="n">
        <f aca="false">AI7/(1+D7/2)^A7</f>
        <v>5.84701914662643</v>
      </c>
      <c r="AK7" s="8" t="n">
        <f aca="false">$C$22/2*100</f>
        <v>7</v>
      </c>
      <c r="AL7" s="8" t="n">
        <f aca="false">AK7/(1+D7/2)^A7</f>
        <v>5.97505606224599</v>
      </c>
      <c r="AM7" s="8" t="n">
        <f aca="false">$C$23/2*100</f>
        <v>7.15</v>
      </c>
      <c r="AN7" s="8" t="n">
        <f aca="false">AM7/(1+D7/2)^A7</f>
        <v>6.10309297786555</v>
      </c>
      <c r="AO7" s="8"/>
    </row>
    <row r="8" customFormat="false" ht="16" hidden="false" customHeight="false" outlineLevel="0" collapsed="false">
      <c r="A8" s="3" t="n">
        <v>5</v>
      </c>
      <c r="B8" s="3" t="n">
        <f aca="false">A8/2</f>
        <v>2.5</v>
      </c>
      <c r="C8" s="6" t="n">
        <v>0.087</v>
      </c>
      <c r="D8" s="7" t="n">
        <v>0.0883022009939181</v>
      </c>
      <c r="E8" s="8"/>
      <c r="F8" s="8"/>
      <c r="G8" s="8"/>
      <c r="H8" s="8" t="n">
        <f aca="false">SUM(H4:H7)</f>
        <v>99.9999772923021</v>
      </c>
      <c r="I8" s="8" t="n">
        <f aca="false">$C$8/2*100+100</f>
        <v>104.35</v>
      </c>
      <c r="J8" s="8" t="n">
        <f aca="false">I8/(1+D8/2)^A8</f>
        <v>84.0767083855632</v>
      </c>
      <c r="K8" s="8" t="n">
        <f aca="false">$C$9/2*100</f>
        <v>4.75</v>
      </c>
      <c r="L8" s="8" t="n">
        <f aca="false">K8/(1+D8/2)^A8</f>
        <v>3.8271620970908</v>
      </c>
      <c r="M8" s="8" t="n">
        <f aca="false">$C$10/2*100</f>
        <v>5.15</v>
      </c>
      <c r="N8" s="8" t="n">
        <f aca="false">M8/(1+D8/2)^A8</f>
        <v>4.14944943158266</v>
      </c>
      <c r="O8" s="8" t="n">
        <f aca="false">$C$11/2*100</f>
        <v>5.35</v>
      </c>
      <c r="P8" s="8" t="n">
        <f aca="false">O8/(1+D8/2)^A8</f>
        <v>4.31059309882859</v>
      </c>
      <c r="Q8" s="8" t="n">
        <f aca="false">$C$12/2*100</f>
        <v>5.5</v>
      </c>
      <c r="R8" s="8" t="n">
        <f aca="false">Q8/(1+D8/2)^A8</f>
        <v>4.43145084926303</v>
      </c>
      <c r="S8" s="8" t="n">
        <f aca="false">$C$13/2*100</f>
        <v>5.65</v>
      </c>
      <c r="T8" s="8" t="n">
        <f aca="false">S8/(1+D8/2)^A8</f>
        <v>4.55230859969748</v>
      </c>
      <c r="U8" s="8" t="n">
        <f aca="false">$C$14/2*100</f>
        <v>5.8</v>
      </c>
      <c r="V8" s="8" t="n">
        <f aca="false">U8/(1+D8/2)^A8</f>
        <v>4.67316635013193</v>
      </c>
      <c r="W8" s="8" t="n">
        <f aca="false">$C$15/2*100</f>
        <v>5.95</v>
      </c>
      <c r="X8" s="8" t="n">
        <f aca="false">W8/(1+D8/2)^A8</f>
        <v>4.79402410056637</v>
      </c>
      <c r="Y8" s="8" t="n">
        <f aca="false">$C$16/2*100</f>
        <v>6.1</v>
      </c>
      <c r="Z8" s="8" t="n">
        <f aca="false">Y8/(1+D8/2)^A8</f>
        <v>4.91488185100082</v>
      </c>
      <c r="AA8" s="8" t="n">
        <f aca="false">$C$17/2*100</f>
        <v>6.25</v>
      </c>
      <c r="AB8" s="8" t="n">
        <f aca="false">AA8/(1+D8/2)^A8</f>
        <v>5.03573960143526</v>
      </c>
      <c r="AC8" s="8" t="n">
        <f aca="false">$C$18/2*100</f>
        <v>6.4</v>
      </c>
      <c r="AD8" s="8" t="n">
        <f aca="false">AC8/(1+D8/2)^A8</f>
        <v>5.15659735186971</v>
      </c>
      <c r="AE8" s="8" t="n">
        <f aca="false">$C$19/2*100</f>
        <v>6.55</v>
      </c>
      <c r="AF8" s="8" t="n">
        <f aca="false">AE8/(1+D8/2)^A8</f>
        <v>5.27745510230416</v>
      </c>
      <c r="AG8" s="8" t="n">
        <f aca="false">$C$20/2*100</f>
        <v>6.7</v>
      </c>
      <c r="AH8" s="8" t="n">
        <f aca="false">AG8/(1+D8/2)^A8</f>
        <v>5.3983128527386</v>
      </c>
      <c r="AI8" s="8" t="n">
        <f aca="false">$C$21/2*100</f>
        <v>6.85</v>
      </c>
      <c r="AJ8" s="8" t="n">
        <f aca="false">AI8/(1+D8/2)^A8</f>
        <v>5.51917060317305</v>
      </c>
      <c r="AK8" s="8" t="n">
        <f aca="false">$C$22/2*100</f>
        <v>7</v>
      </c>
      <c r="AL8" s="8" t="n">
        <f aca="false">AK8/(1+D8/2)^A8</f>
        <v>5.6400283536075</v>
      </c>
      <c r="AM8" s="8" t="n">
        <f aca="false">$C$23/2*100</f>
        <v>7.15</v>
      </c>
      <c r="AN8" s="8" t="n">
        <f aca="false">AM8/(1+D8/2)^A8</f>
        <v>5.76088610404194</v>
      </c>
      <c r="AO8" s="8"/>
    </row>
    <row r="9" customFormat="false" ht="16" hidden="false" customHeight="false" outlineLevel="0" collapsed="false">
      <c r="A9" s="3" t="n">
        <v>6</v>
      </c>
      <c r="B9" s="3" t="n">
        <f aca="false">A9/2</f>
        <v>3</v>
      </c>
      <c r="C9" s="6" t="n">
        <v>0.095</v>
      </c>
      <c r="D9" s="7" t="n">
        <v>0.0972398567988589</v>
      </c>
      <c r="E9" s="8"/>
      <c r="F9" s="8"/>
      <c r="G9" s="8"/>
      <c r="H9" s="8"/>
      <c r="I9" s="8"/>
      <c r="J9" s="8" t="n">
        <f aca="false">SUM(J4:J8)</f>
        <v>99.999919866763</v>
      </c>
      <c r="K9" s="8" t="n">
        <f aca="false">$C$9/2*100+100</f>
        <v>104.75</v>
      </c>
      <c r="L9" s="8" t="n">
        <f aca="false">K9/(1+D9/2)^A9</f>
        <v>78.7853356979029</v>
      </c>
      <c r="M9" s="8" t="n">
        <f aca="false">$C$10/2*100</f>
        <v>5.15</v>
      </c>
      <c r="N9" s="8" t="n">
        <f aca="false">M9/(1+D9/2)^A9</f>
        <v>3.87345564529069</v>
      </c>
      <c r="O9" s="8" t="n">
        <f aca="false">$C$11/2*100</f>
        <v>5.35</v>
      </c>
      <c r="P9" s="8" t="n">
        <f aca="false">O9/(1+D9/2)^A9</f>
        <v>4.02388110724373</v>
      </c>
      <c r="Q9" s="8" t="n">
        <f aca="false">$C$12/2*100</f>
        <v>5.5</v>
      </c>
      <c r="R9" s="8" t="n">
        <f aca="false">Q9/(1+D9/2)^A9</f>
        <v>4.13670020370851</v>
      </c>
      <c r="S9" s="8" t="n">
        <f aca="false">$C$13/2*100</f>
        <v>5.65</v>
      </c>
      <c r="T9" s="8" t="n">
        <f aca="false">S9/(1+D9/2)^A9</f>
        <v>4.24951930017328</v>
      </c>
      <c r="U9" s="8" t="n">
        <f aca="false">$C$14/2*100</f>
        <v>5.8</v>
      </c>
      <c r="V9" s="8" t="n">
        <f aca="false">U9/(1+D9/2)^A9</f>
        <v>4.36233839663806</v>
      </c>
      <c r="W9" s="8" t="n">
        <f aca="false">$C$15/2*100</f>
        <v>5.95</v>
      </c>
      <c r="X9" s="8" t="n">
        <f aca="false">W9/(1+D9/2)^A9</f>
        <v>4.47515749310284</v>
      </c>
      <c r="Y9" s="8" t="n">
        <f aca="false">$C$16/2*100</f>
        <v>6.1</v>
      </c>
      <c r="Z9" s="8" t="n">
        <f aca="false">Y9/(1+D9/2)^A9</f>
        <v>4.58797658956761</v>
      </c>
      <c r="AA9" s="8" t="n">
        <f aca="false">$C$17/2*100</f>
        <v>6.25</v>
      </c>
      <c r="AB9" s="8" t="n">
        <f aca="false">AA9/(1+D9/2)^A9</f>
        <v>4.70079568603239</v>
      </c>
      <c r="AC9" s="8" t="n">
        <f aca="false">$C$18/2*100</f>
        <v>6.4</v>
      </c>
      <c r="AD9" s="8" t="n">
        <f aca="false">AC9/(1+D9/2)^A9</f>
        <v>4.81361478249717</v>
      </c>
      <c r="AE9" s="8" t="n">
        <f aca="false">$C$19/2*100</f>
        <v>6.55</v>
      </c>
      <c r="AF9" s="8" t="n">
        <f aca="false">AE9/(1+D9/2)^A9</f>
        <v>4.92643387896195</v>
      </c>
      <c r="AG9" s="8" t="n">
        <f aca="false">$C$20/2*100</f>
        <v>6.7</v>
      </c>
      <c r="AH9" s="8" t="n">
        <f aca="false">AG9/(1+D9/2)^A9</f>
        <v>5.03925297542672</v>
      </c>
      <c r="AI9" s="8" t="n">
        <f aca="false">$C$21/2*100</f>
        <v>6.85</v>
      </c>
      <c r="AJ9" s="8" t="n">
        <f aca="false">AI9/(1+D9/2)^A9</f>
        <v>5.1520720718915</v>
      </c>
      <c r="AK9" s="8" t="n">
        <f aca="false">$C$22/2*100</f>
        <v>7</v>
      </c>
      <c r="AL9" s="8" t="n">
        <f aca="false">AK9/(1+D9/2)^A9</f>
        <v>5.26489116835628</v>
      </c>
      <c r="AM9" s="8" t="n">
        <f aca="false">$C$23/2*100</f>
        <v>7.15</v>
      </c>
      <c r="AN9" s="8" t="n">
        <f aca="false">AM9/(1+D9/2)^A9</f>
        <v>5.37771026482106</v>
      </c>
      <c r="AO9" s="8"/>
    </row>
    <row r="10" customFormat="false" ht="16" hidden="false" customHeight="false" outlineLevel="0" collapsed="false">
      <c r="A10" s="3" t="n">
        <v>7</v>
      </c>
      <c r="B10" s="3" t="n">
        <f aca="false">A10/2</f>
        <v>3.5</v>
      </c>
      <c r="C10" s="6" t="n">
        <v>0.103</v>
      </c>
      <c r="D10" s="7" t="n">
        <v>0.106514275522749</v>
      </c>
      <c r="E10" s="8"/>
      <c r="F10" s="8"/>
      <c r="G10" s="8"/>
      <c r="H10" s="8"/>
      <c r="I10" s="8"/>
      <c r="J10" s="8"/>
      <c r="K10" s="8"/>
      <c r="L10" s="8" t="n">
        <f aca="false">SUM(L4:L9)</f>
        <v>99.9999126307866</v>
      </c>
      <c r="M10" s="8" t="n">
        <f aca="false">$C$10/2*100+100</f>
        <v>105.15</v>
      </c>
      <c r="N10" s="8" t="n">
        <f aca="false">M10/(1+D10/2)^A10</f>
        <v>73.1254245193035</v>
      </c>
      <c r="O10" s="8" t="n">
        <f aca="false">$C$11/2*100</f>
        <v>5.35</v>
      </c>
      <c r="P10" s="8" t="n">
        <f aca="false">O10/(1+D10/2)^A10</f>
        <v>3.72059934549</v>
      </c>
      <c r="Q10" s="8" t="n">
        <f aca="false">$C$12/2*100</f>
        <v>5.5</v>
      </c>
      <c r="R10" s="8" t="n">
        <f aca="false">Q10/(1+D10/2)^A10</f>
        <v>3.82491521498972</v>
      </c>
      <c r="S10" s="8" t="n">
        <f aca="false">$C$13/2*100</f>
        <v>5.65</v>
      </c>
      <c r="T10" s="8" t="n">
        <f aca="false">S10/(1+D10/2)^A10</f>
        <v>3.92923108448944</v>
      </c>
      <c r="U10" s="8" t="n">
        <f aca="false">$C$14/2*100</f>
        <v>5.8</v>
      </c>
      <c r="V10" s="8" t="n">
        <f aca="false">U10/(1+D10/2)^A10</f>
        <v>4.03354695398916</v>
      </c>
      <c r="W10" s="8" t="n">
        <f aca="false">$C$15/2*100</f>
        <v>5.95</v>
      </c>
      <c r="X10" s="8" t="n">
        <f aca="false">W10/(1+D10/2)^A10</f>
        <v>4.13786282348888</v>
      </c>
      <c r="Y10" s="8" t="n">
        <f aca="false">$C$16/2*100</f>
        <v>6.1</v>
      </c>
      <c r="Z10" s="8" t="n">
        <f aca="false">Y10/(1+D10/2)^A10</f>
        <v>4.2421786929886</v>
      </c>
      <c r="AA10" s="8" t="n">
        <f aca="false">$C$17/2*100</f>
        <v>6.25</v>
      </c>
      <c r="AB10" s="8" t="n">
        <f aca="false">AA10/(1+D10/2)^A10</f>
        <v>4.34649456248832</v>
      </c>
      <c r="AC10" s="8" t="n">
        <f aca="false">$C$18/2*100</f>
        <v>6.4</v>
      </c>
      <c r="AD10" s="8" t="n">
        <f aca="false">AC10/(1+D10/2)^A10</f>
        <v>4.45081043198804</v>
      </c>
      <c r="AE10" s="8" t="n">
        <f aca="false">$C$19/2*100</f>
        <v>6.55</v>
      </c>
      <c r="AF10" s="8" t="n">
        <f aca="false">AE10/(1+D10/2)^A10</f>
        <v>4.55512630148776</v>
      </c>
      <c r="AG10" s="8" t="n">
        <f aca="false">$C$20/2*100</f>
        <v>6.7</v>
      </c>
      <c r="AH10" s="8" t="n">
        <f aca="false">AG10/(1+D10/2)^A10</f>
        <v>4.65944217098748</v>
      </c>
      <c r="AI10" s="8" t="n">
        <f aca="false">$C$21/2*100</f>
        <v>6.85</v>
      </c>
      <c r="AJ10" s="8" t="n">
        <f aca="false">AI10/(1+D10/2)^A10</f>
        <v>4.7637580404872</v>
      </c>
      <c r="AK10" s="8" t="n">
        <f aca="false">$C$22/2*100</f>
        <v>7</v>
      </c>
      <c r="AL10" s="8" t="n">
        <f aca="false">AK10/(1+D10/2)^A10</f>
        <v>4.86807390998692</v>
      </c>
      <c r="AM10" s="8" t="n">
        <f aca="false">$C$23/2*100</f>
        <v>7.15</v>
      </c>
      <c r="AN10" s="8" t="n">
        <f aca="false">AM10/(1+D10/2)^A10</f>
        <v>4.97238977948664</v>
      </c>
      <c r="AO10" s="8"/>
    </row>
    <row r="11" customFormat="false" ht="16" hidden="false" customHeight="false" outlineLevel="0" collapsed="false">
      <c r="A11" s="3" t="n">
        <v>8</v>
      </c>
      <c r="B11" s="3" t="n">
        <f aca="false">A11/2</f>
        <v>4</v>
      </c>
      <c r="C11" s="6" t="n">
        <v>0.107</v>
      </c>
      <c r="D11" s="7" t="n">
        <v>0.111096974997406</v>
      </c>
      <c r="E11" s="8"/>
      <c r="F11" s="8"/>
      <c r="G11" s="8"/>
      <c r="H11" s="8"/>
      <c r="I11" s="8"/>
      <c r="J11" s="8"/>
      <c r="K11" s="8"/>
      <c r="L11" s="8"/>
      <c r="M11" s="8"/>
      <c r="N11" s="8" t="n">
        <f aca="false">SUM(N4:N10)</f>
        <v>99.9999477865629</v>
      </c>
      <c r="O11" s="8" t="n">
        <f aca="false">$C$11/2*100+100</f>
        <v>105.35</v>
      </c>
      <c r="P11" s="8" t="n">
        <f aca="false">O11/(1+D11/2)^A11</f>
        <v>68.3610992684573</v>
      </c>
      <c r="Q11" s="8" t="n">
        <f aca="false">$C$12/2*100</f>
        <v>5.5</v>
      </c>
      <c r="R11" s="8" t="n">
        <f aca="false">Q11/(1+D11/2)^A11</f>
        <v>3.56892307523982</v>
      </c>
      <c r="S11" s="8" t="n">
        <f aca="false">$C$13/2*100</f>
        <v>5.65</v>
      </c>
      <c r="T11" s="8" t="n">
        <f aca="false">S11/(1+D11/2)^A11</f>
        <v>3.66625734092818</v>
      </c>
      <c r="U11" s="8" t="n">
        <f aca="false">$C$14/2*100</f>
        <v>5.8</v>
      </c>
      <c r="V11" s="8" t="n">
        <f aca="false">U11/(1+D11/2)^A11</f>
        <v>3.76359160661654</v>
      </c>
      <c r="W11" s="8" t="n">
        <f aca="false">$C$15/2*100</f>
        <v>5.95</v>
      </c>
      <c r="X11" s="8" t="n">
        <f aca="false">W11/(1+D11/2)^A11</f>
        <v>3.8609258723049</v>
      </c>
      <c r="Y11" s="8" t="n">
        <f aca="false">$C$16/2*100</f>
        <v>6.1</v>
      </c>
      <c r="Z11" s="8" t="n">
        <f aca="false">Y11/(1+D11/2)^A11</f>
        <v>3.95826013799325</v>
      </c>
      <c r="AA11" s="8" t="n">
        <f aca="false">$C$17/2*100</f>
        <v>6.25</v>
      </c>
      <c r="AB11" s="8" t="n">
        <f aca="false">AA11/(1+D11/2)^A11</f>
        <v>4.05559440368161</v>
      </c>
      <c r="AC11" s="8" t="n">
        <f aca="false">$C$18/2*100</f>
        <v>6.4</v>
      </c>
      <c r="AD11" s="8" t="n">
        <f aca="false">AC11/(1+D11/2)^A11</f>
        <v>4.15292866936997</v>
      </c>
      <c r="AE11" s="8" t="n">
        <f aca="false">$C$19/2*100</f>
        <v>6.55</v>
      </c>
      <c r="AF11" s="8" t="n">
        <f aca="false">AE11/(1+D11/2)^A11</f>
        <v>4.25026293505833</v>
      </c>
      <c r="AG11" s="8" t="n">
        <f aca="false">$C$20/2*100</f>
        <v>6.7</v>
      </c>
      <c r="AH11" s="8" t="n">
        <f aca="false">AG11/(1+D11/2)^A11</f>
        <v>4.34759720074669</v>
      </c>
      <c r="AI11" s="8" t="n">
        <f aca="false">$C$21/2*100</f>
        <v>6.85</v>
      </c>
      <c r="AJ11" s="8" t="n">
        <f aca="false">AI11/(1+D11/2)^A11</f>
        <v>4.44493146643505</v>
      </c>
      <c r="AK11" s="8" t="n">
        <f aca="false">$C$22/2*100</f>
        <v>7</v>
      </c>
      <c r="AL11" s="8" t="n">
        <f aca="false">AK11/(1+D11/2)^A11</f>
        <v>4.54226573212341</v>
      </c>
      <c r="AM11" s="8" t="n">
        <f aca="false">$C$23/2*100</f>
        <v>7.15</v>
      </c>
      <c r="AN11" s="8" t="n">
        <f aca="false">AM11/(1+D11/2)^A11</f>
        <v>4.63959999781177</v>
      </c>
      <c r="AO11" s="8"/>
    </row>
    <row r="12" customFormat="false" ht="16" hidden="false" customHeight="false" outlineLevel="0" collapsed="false">
      <c r="A12" s="3" t="n">
        <v>9</v>
      </c>
      <c r="B12" s="3" t="n">
        <f aca="false">A12/2</f>
        <v>4.5</v>
      </c>
      <c r="C12" s="6" t="n">
        <v>0.11</v>
      </c>
      <c r="D12" s="7" t="n">
        <v>0.114563489857596</v>
      </c>
      <c r="E12" s="8"/>
      <c r="F12" s="8"/>
      <c r="G12" s="8"/>
      <c r="H12" s="8"/>
      <c r="I12" s="8"/>
      <c r="J12" s="8"/>
      <c r="K12" s="8"/>
      <c r="L12" s="8"/>
      <c r="M12" s="8"/>
      <c r="N12" s="8"/>
      <c r="O12" s="8"/>
      <c r="P12" s="8" t="n">
        <f aca="false">SUM(P4:P11)</f>
        <v>99.9998926877021</v>
      </c>
      <c r="Q12" s="8" t="n">
        <f aca="false">$C$12/2*100+100</f>
        <v>105.5</v>
      </c>
      <c r="R12" s="8" t="n">
        <f aca="false">Q12/(1+D12/2)^A12</f>
        <v>63.9051496377872</v>
      </c>
      <c r="S12" s="8" t="n">
        <f aca="false">$C$13/2*100</f>
        <v>5.65</v>
      </c>
      <c r="T12" s="8" t="n">
        <f aca="false">S12/(1+D12/2)^A12</f>
        <v>3.42240848771088</v>
      </c>
      <c r="U12" s="8" t="n">
        <f aca="false">$C$14/2*100</f>
        <v>5.8</v>
      </c>
      <c r="V12" s="8" t="n">
        <f aca="false">U12/(1+D12/2)^A12</f>
        <v>3.51326889003948</v>
      </c>
      <c r="W12" s="8" t="n">
        <f aca="false">$C$15/2*100</f>
        <v>5.95</v>
      </c>
      <c r="X12" s="8" t="n">
        <f aca="false">W12/(1+D12/2)^A12</f>
        <v>3.60412929236809</v>
      </c>
      <c r="Y12" s="8" t="n">
        <f aca="false">$C$16/2*100</f>
        <v>6.1</v>
      </c>
      <c r="Z12" s="8" t="n">
        <f aca="false">Y12/(1+D12/2)^A12</f>
        <v>3.6949896946967</v>
      </c>
      <c r="AA12" s="8" t="n">
        <f aca="false">$C$17/2*100</f>
        <v>6.25</v>
      </c>
      <c r="AB12" s="8" t="n">
        <f aca="false">AA12/(1+D12/2)^A12</f>
        <v>3.7858500970253</v>
      </c>
      <c r="AC12" s="8" t="n">
        <f aca="false">$C$18/2*100</f>
        <v>6.4</v>
      </c>
      <c r="AD12" s="8" t="n">
        <f aca="false">AC12/(1+D12/2)^A12</f>
        <v>3.87671049935391</v>
      </c>
      <c r="AE12" s="8" t="n">
        <f aca="false">$C$19/2*100</f>
        <v>6.55</v>
      </c>
      <c r="AF12" s="8" t="n">
        <f aca="false">AE12/(1+D12/2)^A12</f>
        <v>3.96757090168252</v>
      </c>
      <c r="AG12" s="8" t="n">
        <f aca="false">$C$20/2*100</f>
        <v>6.7</v>
      </c>
      <c r="AH12" s="8" t="n">
        <f aca="false">AG12/(1+D12/2)^A12</f>
        <v>4.05843130401113</v>
      </c>
      <c r="AI12" s="8" t="n">
        <f aca="false">$C$21/2*100</f>
        <v>6.85</v>
      </c>
      <c r="AJ12" s="8" t="n">
        <f aca="false">AI12/(1+D12/2)^A12</f>
        <v>4.14929170633973</v>
      </c>
      <c r="AK12" s="8" t="n">
        <f aca="false">$C$22/2*100</f>
        <v>7</v>
      </c>
      <c r="AL12" s="8" t="n">
        <f aca="false">AK12/(1+D12/2)^A12</f>
        <v>4.24015210866834</v>
      </c>
      <c r="AM12" s="8" t="n">
        <f aca="false">$C$23/2*100</f>
        <v>7.15</v>
      </c>
      <c r="AN12" s="8" t="n">
        <f aca="false">AM12/(1+D12/2)^A12</f>
        <v>4.33101251099695</v>
      </c>
      <c r="AO12" s="8"/>
    </row>
    <row r="13" customFormat="false" ht="16" hidden="false" customHeight="false" outlineLevel="0" collapsed="false">
      <c r="A13" s="3" t="n">
        <v>10</v>
      </c>
      <c r="B13" s="3" t="n">
        <f aca="false">A13/2</f>
        <v>5</v>
      </c>
      <c r="C13" s="6" t="n">
        <v>0.113</v>
      </c>
      <c r="D13" s="7" t="n">
        <v>0.118197390475744</v>
      </c>
      <c r="E13" s="8"/>
      <c r="F13" s="8"/>
      <c r="G13" s="8"/>
      <c r="H13" s="8"/>
      <c r="I13" s="8"/>
      <c r="J13" s="8"/>
      <c r="K13" s="8"/>
      <c r="L13" s="8"/>
      <c r="M13" s="8"/>
      <c r="N13" s="8"/>
      <c r="O13" s="8"/>
      <c r="P13" s="8"/>
      <c r="Q13" s="8"/>
      <c r="R13" s="8" t="n">
        <f aca="false">SUM(R4:R12)</f>
        <v>99.9999351066431</v>
      </c>
      <c r="S13" s="8" t="n">
        <f aca="false">$C$13/2*100+100</f>
        <v>105.65</v>
      </c>
      <c r="T13" s="8" t="n">
        <f aca="false">S13/(1+D13/2)^A13</f>
        <v>59.4983841435437</v>
      </c>
      <c r="U13" s="8" t="n">
        <f aca="false">$C$14/2*100</f>
        <v>5.8</v>
      </c>
      <c r="V13" s="8" t="n">
        <f aca="false">U13/(1+D13/2)^A13</f>
        <v>3.26635710395223</v>
      </c>
      <c r="W13" s="8" t="n">
        <f aca="false">$C$15/2*100</f>
        <v>5.95</v>
      </c>
      <c r="X13" s="8" t="n">
        <f aca="false">W13/(1+D13/2)^A13</f>
        <v>3.35083185664065</v>
      </c>
      <c r="Y13" s="8" t="n">
        <f aca="false">$C$16/2*100</f>
        <v>6.1</v>
      </c>
      <c r="Z13" s="8" t="n">
        <f aca="false">Y13/(1+D13/2)^A13</f>
        <v>3.43530660932907</v>
      </c>
      <c r="AA13" s="8" t="n">
        <f aca="false">$C$17/2*100</f>
        <v>6.25</v>
      </c>
      <c r="AB13" s="8" t="n">
        <f aca="false">AA13/(1+D13/2)^A13</f>
        <v>3.51978136201749</v>
      </c>
      <c r="AC13" s="8" t="n">
        <f aca="false">$C$18/2*100</f>
        <v>6.4</v>
      </c>
      <c r="AD13" s="8" t="n">
        <f aca="false">AC13/(1+D13/2)^A13</f>
        <v>3.60425611470591</v>
      </c>
      <c r="AE13" s="8" t="n">
        <f aca="false">$C$19/2*100</f>
        <v>6.55</v>
      </c>
      <c r="AF13" s="8" t="n">
        <f aca="false">AE13/(1+D13/2)^A13</f>
        <v>3.68873086739433</v>
      </c>
      <c r="AG13" s="8" t="n">
        <f aca="false">$C$20/2*100</f>
        <v>6.7</v>
      </c>
      <c r="AH13" s="8" t="n">
        <f aca="false">AG13/(1+D13/2)^A13</f>
        <v>3.77320562008275</v>
      </c>
      <c r="AI13" s="8" t="n">
        <f aca="false">$C$21/2*100</f>
        <v>6.85</v>
      </c>
      <c r="AJ13" s="8" t="n">
        <f aca="false">AI13/(1+D13/2)^A13</f>
        <v>3.85768037277117</v>
      </c>
      <c r="AK13" s="8" t="n">
        <f aca="false">$C$22/2*100</f>
        <v>7</v>
      </c>
      <c r="AL13" s="8" t="n">
        <f aca="false">AK13/(1+D13/2)^A13</f>
        <v>3.94215512545959</v>
      </c>
      <c r="AM13" s="8" t="n">
        <f aca="false">$C$23/2*100</f>
        <v>7.15</v>
      </c>
      <c r="AN13" s="8" t="n">
        <f aca="false">AM13/(1+D13/2)^A13</f>
        <v>4.02662987814801</v>
      </c>
      <c r="AO13" s="8"/>
    </row>
    <row r="14" customFormat="false" ht="16" hidden="false" customHeight="false" outlineLevel="0" collapsed="false">
      <c r="A14" s="3" t="n">
        <v>11</v>
      </c>
      <c r="B14" s="3" t="n">
        <f aca="false">A14/2</f>
        <v>5.5</v>
      </c>
      <c r="C14" s="6" t="n">
        <v>0.116</v>
      </c>
      <c r="D14" s="7" t="n">
        <v>0.122007950678033</v>
      </c>
      <c r="E14" s="8"/>
      <c r="F14" s="8"/>
      <c r="G14" s="8"/>
      <c r="H14" s="8"/>
      <c r="I14" s="8"/>
      <c r="J14" s="8"/>
      <c r="K14" s="8"/>
      <c r="L14" s="8"/>
      <c r="M14" s="8"/>
      <c r="N14" s="8"/>
      <c r="O14" s="8"/>
      <c r="P14" s="8"/>
      <c r="Q14" s="8"/>
      <c r="R14" s="8"/>
      <c r="S14" s="8"/>
      <c r="T14" s="8" t="n">
        <f aca="false">SUM(T4:T13)</f>
        <v>99.9999813401703</v>
      </c>
      <c r="U14" s="8" t="n">
        <f aca="false">$C$14/2*100+100</f>
        <v>105.8</v>
      </c>
      <c r="V14" s="8" t="n">
        <f aca="false">U14/(1+D14/2)^A14</f>
        <v>55.1567344034577</v>
      </c>
      <c r="W14" s="8" t="n">
        <f aca="false">$C$15/2*100</f>
        <v>5.95</v>
      </c>
      <c r="X14" s="8" t="n">
        <f aca="false">W14/(1+D14/2)^A14</f>
        <v>3.10191464745343</v>
      </c>
      <c r="Y14" s="8" t="n">
        <f aca="false">$C$16/2*100</f>
        <v>6.1</v>
      </c>
      <c r="Z14" s="8" t="n">
        <f aca="false">Y14/(1+D14/2)^A14</f>
        <v>3.18011417638083</v>
      </c>
      <c r="AA14" s="8" t="n">
        <f aca="false">$C$17/2*100</f>
        <v>6.25</v>
      </c>
      <c r="AB14" s="8" t="n">
        <f aca="false">AA14/(1+D14/2)^A14</f>
        <v>3.25831370530823</v>
      </c>
      <c r="AC14" s="8" t="n">
        <f aca="false">$C$18/2*100</f>
        <v>6.4</v>
      </c>
      <c r="AD14" s="8" t="n">
        <f aca="false">AC14/(1+D14/2)^A14</f>
        <v>3.33651323423563</v>
      </c>
      <c r="AE14" s="8" t="n">
        <f aca="false">$C$19/2*100</f>
        <v>6.55</v>
      </c>
      <c r="AF14" s="8" t="n">
        <f aca="false">AE14/(1+D14/2)^A14</f>
        <v>3.41471276316302</v>
      </c>
      <c r="AG14" s="8" t="n">
        <f aca="false">$C$20/2*100</f>
        <v>6.7</v>
      </c>
      <c r="AH14" s="8" t="n">
        <f aca="false">AG14/(1+D14/2)^A14</f>
        <v>3.49291229209042</v>
      </c>
      <c r="AI14" s="8" t="n">
        <f aca="false">$C$21/2*100</f>
        <v>6.85</v>
      </c>
      <c r="AJ14" s="8" t="n">
        <f aca="false">AI14/(1+D14/2)^A14</f>
        <v>3.57111182101782</v>
      </c>
      <c r="AK14" s="8" t="n">
        <f aca="false">$C$22/2*100</f>
        <v>7</v>
      </c>
      <c r="AL14" s="8" t="n">
        <f aca="false">AK14/(1+D14/2)^A14</f>
        <v>3.64931134994522</v>
      </c>
      <c r="AM14" s="8" t="n">
        <f aca="false">$C$23/2*100</f>
        <v>7.15</v>
      </c>
      <c r="AN14" s="8" t="n">
        <f aca="false">AM14/(1+D14/2)^A14</f>
        <v>3.72751087887261</v>
      </c>
      <c r="AO14" s="8"/>
    </row>
    <row r="15" customFormat="false" ht="16" hidden="false" customHeight="false" outlineLevel="0" collapsed="false">
      <c r="A15" s="3" t="n">
        <v>12</v>
      </c>
      <c r="B15" s="3" t="n">
        <f aca="false">A15/2</f>
        <v>6</v>
      </c>
      <c r="C15" s="6" t="n">
        <v>0.119</v>
      </c>
      <c r="D15" s="7" t="n">
        <v>0.126010536940983</v>
      </c>
      <c r="E15" s="8"/>
      <c r="F15" s="8"/>
      <c r="G15" s="8"/>
      <c r="H15" s="8"/>
      <c r="I15" s="8"/>
      <c r="J15" s="8"/>
      <c r="K15" s="8"/>
      <c r="L15" s="8"/>
      <c r="M15" s="8"/>
      <c r="N15" s="8"/>
      <c r="O15" s="8"/>
      <c r="P15" s="8"/>
      <c r="Q15" s="8"/>
      <c r="R15" s="8"/>
      <c r="S15" s="8"/>
      <c r="T15" s="8"/>
      <c r="U15" s="8"/>
      <c r="V15" s="8" t="n">
        <f aca="false">SUM(V4:V14)</f>
        <v>99.9999523464249</v>
      </c>
      <c r="W15" s="8" t="n">
        <f aca="false">$C$15/2*100+100</f>
        <v>105.95</v>
      </c>
      <c r="X15" s="8" t="n">
        <f aca="false">W15/(1+D15/2)^A15</f>
        <v>50.8950982733633</v>
      </c>
      <c r="Y15" s="8" t="n">
        <f aca="false">$C$16/2*100</f>
        <v>6.1</v>
      </c>
      <c r="Z15" s="8" t="n">
        <f aca="false">Y15/(1+D15/2)^A15</f>
        <v>2.93025105679581</v>
      </c>
      <c r="AA15" s="8" t="n">
        <f aca="false">$C$17/2*100</f>
        <v>6.25</v>
      </c>
      <c r="AB15" s="8" t="n">
        <f aca="false">AA15/(1+D15/2)^A15</f>
        <v>3.00230641065145</v>
      </c>
      <c r="AC15" s="8" t="n">
        <f aca="false">$C$18/2*100</f>
        <v>6.4</v>
      </c>
      <c r="AD15" s="8" t="n">
        <f aca="false">AC15/(1+D15/2)^A15</f>
        <v>3.07436176450708</v>
      </c>
      <c r="AE15" s="8" t="n">
        <f aca="false">$C$19/2*100</f>
        <v>6.55</v>
      </c>
      <c r="AF15" s="8" t="n">
        <f aca="false">AE15/(1+D15/2)^A15</f>
        <v>3.14641711836271</v>
      </c>
      <c r="AG15" s="8" t="n">
        <f aca="false">$C$20/2*100</f>
        <v>6.7</v>
      </c>
      <c r="AH15" s="8" t="n">
        <f aca="false">AG15/(1+D15/2)^A15</f>
        <v>3.21847247221835</v>
      </c>
      <c r="AI15" s="8" t="n">
        <f aca="false">$C$21/2*100</f>
        <v>6.85</v>
      </c>
      <c r="AJ15" s="8" t="n">
        <f aca="false">AI15/(1+D15/2)^A15</f>
        <v>3.29052782607398</v>
      </c>
      <c r="AK15" s="8" t="n">
        <f aca="false">$C$22/2*100</f>
        <v>7</v>
      </c>
      <c r="AL15" s="8" t="n">
        <f aca="false">AK15/(1+D15/2)^A15</f>
        <v>3.36258317992962</v>
      </c>
      <c r="AM15" s="8" t="n">
        <f aca="false">$C$23/2*100</f>
        <v>7.15</v>
      </c>
      <c r="AN15" s="8" t="n">
        <f aca="false">AM15/(1+D15/2)^A15</f>
        <v>3.43463853378525</v>
      </c>
      <c r="AO15" s="8"/>
    </row>
    <row r="16" customFormat="false" ht="16" hidden="false" customHeight="false" outlineLevel="0" collapsed="false">
      <c r="A16" s="3" t="n">
        <v>13</v>
      </c>
      <c r="B16" s="3" t="n">
        <f aca="false">A16/2</f>
        <v>6.5</v>
      </c>
      <c r="C16" s="6" t="n">
        <v>0.122</v>
      </c>
      <c r="D16" s="7" t="n">
        <v>0.130227862907387</v>
      </c>
      <c r="E16" s="8"/>
      <c r="F16" s="8"/>
      <c r="G16" s="8"/>
      <c r="H16" s="8"/>
      <c r="I16" s="8"/>
      <c r="J16" s="8"/>
      <c r="K16" s="8"/>
      <c r="L16" s="8"/>
      <c r="M16" s="8"/>
      <c r="N16" s="8"/>
      <c r="O16" s="8"/>
      <c r="P16" s="8"/>
      <c r="Q16" s="8"/>
      <c r="R16" s="8"/>
      <c r="S16" s="8"/>
      <c r="T16" s="8"/>
      <c r="U16" s="8"/>
      <c r="V16" s="8"/>
      <c r="W16" s="8"/>
      <c r="X16" s="8" t="n">
        <f aca="false">SUM(X4:X15)</f>
        <v>99.9999692588606</v>
      </c>
      <c r="Y16" s="8" t="n">
        <f aca="false">$C$16/2*100+100</f>
        <v>106.1</v>
      </c>
      <c r="Z16" s="8" t="n">
        <f aca="false">Y16/(1+D16/2)^A16</f>
        <v>46.7268533830602</v>
      </c>
      <c r="AA16" s="8" t="n">
        <f aca="false">$C$17/2*100</f>
        <v>6.25</v>
      </c>
      <c r="AB16" s="8" t="n">
        <f aca="false">AA16/(1+D16/2)^A16</f>
        <v>2.75252435102852</v>
      </c>
      <c r="AC16" s="8" t="n">
        <f aca="false">$C$18/2*100</f>
        <v>6.4</v>
      </c>
      <c r="AD16" s="8" t="n">
        <f aca="false">AC16/(1+D16/2)^A16</f>
        <v>2.81858493545321</v>
      </c>
      <c r="AE16" s="8" t="n">
        <f aca="false">$C$19/2*100</f>
        <v>6.55</v>
      </c>
      <c r="AF16" s="8" t="n">
        <f aca="false">AE16/(1+D16/2)^A16</f>
        <v>2.88464551987789</v>
      </c>
      <c r="AG16" s="8" t="n">
        <f aca="false">$C$20/2*100</f>
        <v>6.7</v>
      </c>
      <c r="AH16" s="8" t="n">
        <f aca="false">AG16/(1+D16/2)^A16</f>
        <v>2.95070610430257</v>
      </c>
      <c r="AI16" s="8" t="n">
        <f aca="false">$C$21/2*100</f>
        <v>6.85</v>
      </c>
      <c r="AJ16" s="8" t="n">
        <f aca="false">AI16/(1+D16/2)^A16</f>
        <v>3.01676668872726</v>
      </c>
      <c r="AK16" s="8" t="n">
        <f aca="false">$C$22/2*100</f>
        <v>7</v>
      </c>
      <c r="AL16" s="8" t="n">
        <f aca="false">AK16/(1+D16/2)^A16</f>
        <v>3.08282727315194</v>
      </c>
      <c r="AM16" s="8" t="n">
        <f aca="false">$C$23/2*100</f>
        <v>7.15</v>
      </c>
      <c r="AN16" s="8" t="n">
        <f aca="false">AM16/(1+D16/2)^A16</f>
        <v>3.14888785757663</v>
      </c>
      <c r="AO16" s="8"/>
    </row>
    <row r="17" customFormat="false" ht="16" hidden="false" customHeight="false" outlineLevel="0" collapsed="false">
      <c r="A17" s="3" t="n">
        <v>14</v>
      </c>
      <c r="B17" s="3" t="n">
        <f aca="false">A17/2</f>
        <v>7</v>
      </c>
      <c r="C17" s="6" t="n">
        <v>0.125</v>
      </c>
      <c r="D17" s="7" t="n">
        <v>0.134688969761893</v>
      </c>
      <c r="E17" s="8"/>
      <c r="F17" s="8"/>
      <c r="G17" s="8"/>
      <c r="H17" s="8"/>
      <c r="I17" s="8"/>
      <c r="J17" s="8"/>
      <c r="K17" s="8"/>
      <c r="L17" s="8"/>
      <c r="M17" s="8"/>
      <c r="N17" s="8"/>
      <c r="O17" s="8"/>
      <c r="P17" s="8"/>
      <c r="Q17" s="8"/>
      <c r="R17" s="8"/>
      <c r="S17" s="8"/>
      <c r="T17" s="8"/>
      <c r="U17" s="8"/>
      <c r="V17" s="8"/>
      <c r="W17" s="8"/>
      <c r="X17" s="8"/>
      <c r="Y17" s="8"/>
      <c r="Z17" s="8" t="n">
        <f aca="false">SUM(Z4:Z16)</f>
        <v>99.9999133493574</v>
      </c>
      <c r="AA17" s="8" t="n">
        <f aca="false">$C$17/2*100+100</f>
        <v>106.25</v>
      </c>
      <c r="AB17" s="8" t="n">
        <f aca="false">AA17/(1+D17/2)^A17</f>
        <v>42.6642773142794</v>
      </c>
      <c r="AC17" s="8" t="n">
        <f aca="false">$C$18/2*100</f>
        <v>6.4</v>
      </c>
      <c r="AD17" s="8" t="n">
        <f aca="false">AC17/(1+D17/2)^A17</f>
        <v>2.56989529234248</v>
      </c>
      <c r="AE17" s="8" t="n">
        <f aca="false">$C$19/2*100</f>
        <v>6.55</v>
      </c>
      <c r="AF17" s="8" t="n">
        <f aca="false">AE17/(1+D17/2)^A17</f>
        <v>2.63012721325675</v>
      </c>
      <c r="AG17" s="8" t="n">
        <f aca="false">$C$20/2*100</f>
        <v>6.7</v>
      </c>
      <c r="AH17" s="8" t="n">
        <f aca="false">AG17/(1+D17/2)^A17</f>
        <v>2.69035913417103</v>
      </c>
      <c r="AI17" s="8" t="n">
        <f aca="false">$C$21/2*100</f>
        <v>6.85</v>
      </c>
      <c r="AJ17" s="8" t="n">
        <f aca="false">AI17/(1+D17/2)^A17</f>
        <v>2.75059105508531</v>
      </c>
      <c r="AK17" s="8" t="n">
        <f aca="false">$C$22/2*100</f>
        <v>7</v>
      </c>
      <c r="AL17" s="8" t="n">
        <f aca="false">AK17/(1+D17/2)^A17</f>
        <v>2.81082297599958</v>
      </c>
      <c r="AM17" s="8" t="n">
        <f aca="false">$C$23/2*100</f>
        <v>7.15</v>
      </c>
      <c r="AN17" s="8" t="n">
        <f aca="false">AM17/(1+D17/2)^A17</f>
        <v>2.87105489691386</v>
      </c>
      <c r="AO17" s="8"/>
    </row>
    <row r="18" customFormat="false" ht="16" hidden="false" customHeight="false" outlineLevel="0" collapsed="false">
      <c r="A18" s="3" t="n">
        <v>15</v>
      </c>
      <c r="B18" s="3" t="n">
        <f aca="false">A18/2</f>
        <v>7.5</v>
      </c>
      <c r="C18" s="6" t="n">
        <v>0.128</v>
      </c>
      <c r="D18" s="7" t="n">
        <v>0.13943090802638</v>
      </c>
      <c r="AB18" s="9" t="n">
        <f aca="false">SUM(AB4:AB17)</f>
        <v>99.9998549094649</v>
      </c>
      <c r="AC18" s="8" t="n">
        <f aca="false">$C$18/2*100+100</f>
        <v>106.4</v>
      </c>
      <c r="AD18" s="8" t="n">
        <f aca="false">AC18/(1+D18/2)^A18</f>
        <v>38.7184156220952</v>
      </c>
      <c r="AE18" s="8" t="n">
        <f aca="false">$C$19/2*100</f>
        <v>6.55</v>
      </c>
      <c r="AF18" s="8" t="n">
        <f aca="false">AE18/(1+D18/2)^A18</f>
        <v>2.38351148801432</v>
      </c>
      <c r="AG18" s="8" t="n">
        <f aca="false">$C$20/2*100</f>
        <v>6.7</v>
      </c>
      <c r="AH18" s="8" t="n">
        <f aca="false">AG18/(1+D18/2)^A18</f>
        <v>2.43809572056426</v>
      </c>
      <c r="AI18" s="8" t="n">
        <f aca="false">$C$21/2*100</f>
        <v>6.85</v>
      </c>
      <c r="AJ18" s="8" t="n">
        <f aca="false">AI18/(1+D18/2)^A18</f>
        <v>2.49267995311421</v>
      </c>
      <c r="AK18" s="8" t="n">
        <f aca="false">$C$22/2*100</f>
        <v>7</v>
      </c>
      <c r="AL18" s="8" t="n">
        <f aca="false">AK18/(1+D18/2)^A18</f>
        <v>2.54726418566416</v>
      </c>
      <c r="AM18" s="8" t="n">
        <f aca="false">$C$23/2*100</f>
        <v>7.15</v>
      </c>
      <c r="AN18" s="8" t="n">
        <f aca="false">AM18/(1+D18/2)^A18</f>
        <v>2.6018484182141</v>
      </c>
    </row>
    <row r="19" customFormat="false" ht="16" hidden="false" customHeight="false" outlineLevel="0" collapsed="false">
      <c r="A19" s="3" t="n">
        <v>16</v>
      </c>
      <c r="B19" s="3" t="n">
        <f aca="false">A19/2</f>
        <v>8</v>
      </c>
      <c r="C19" s="6" t="n">
        <v>0.131</v>
      </c>
      <c r="D19" s="7" t="n">
        <v>0.144502653033114</v>
      </c>
      <c r="AD19" s="9" t="n">
        <f aca="false">SUM(AD4:AD18)</f>
        <v>99.9999423719077</v>
      </c>
      <c r="AE19" s="8" t="n">
        <f aca="false">$C$19/2*100+100</f>
        <v>106.55</v>
      </c>
      <c r="AF19" s="8" t="n">
        <f aca="false">AE19/(1+D19/2)^A19</f>
        <v>34.8985979057431</v>
      </c>
      <c r="AG19" s="8" t="n">
        <f aca="false">$C$20/2*100</f>
        <v>6.7</v>
      </c>
      <c r="AH19" s="8" t="n">
        <f aca="false">AG19/(1+D19/2)^A19</f>
        <v>2.19446838074593</v>
      </c>
      <c r="AI19" s="8" t="n">
        <f aca="false">$C$21/2*100</f>
        <v>6.85</v>
      </c>
      <c r="AJ19" s="8" t="n">
        <f aca="false">AI19/(1+D19/2)^A19</f>
        <v>2.24359826986711</v>
      </c>
      <c r="AK19" s="8" t="n">
        <f aca="false">$C$22/2*100</f>
        <v>7</v>
      </c>
      <c r="AL19" s="8" t="n">
        <f aca="false">AK19/(1+D19/2)^A19</f>
        <v>2.29272815898828</v>
      </c>
      <c r="AM19" s="8" t="n">
        <f aca="false">$C$23/2*100</f>
        <v>7.15</v>
      </c>
      <c r="AN19" s="8" t="n">
        <f aca="false">AM19/(1+D19/2)^A19</f>
        <v>2.34185804810946</v>
      </c>
    </row>
    <row r="20" customFormat="false" ht="16" hidden="false" customHeight="false" outlineLevel="0" collapsed="false">
      <c r="A20" s="3" t="n">
        <v>17</v>
      </c>
      <c r="B20" s="3" t="n">
        <f aca="false">A20/2</f>
        <v>8.5</v>
      </c>
      <c r="C20" s="6" t="n">
        <v>0.134</v>
      </c>
      <c r="D20" s="7" t="n">
        <v>0.149965728455937</v>
      </c>
      <c r="AF20" s="9" t="n">
        <f aca="false">SUM(AF4:AF19)</f>
        <v>99.9999219267686</v>
      </c>
      <c r="AG20" s="8" t="n">
        <f aca="false">$C$20/2*100+100</f>
        <v>106.7</v>
      </c>
      <c r="AH20" s="8" t="n">
        <f aca="false">AG20/(1+D20/2)^A20</f>
        <v>31.2131942458176</v>
      </c>
      <c r="AI20" s="8" t="n">
        <f aca="false">$C$21/2*100</f>
        <v>6.85</v>
      </c>
      <c r="AJ20" s="8" t="n">
        <f aca="false">AI20/(1+D20/2)^A20</f>
        <v>2.00384611606233</v>
      </c>
      <c r="AK20" s="8" t="n">
        <f aca="false">$C$22/2*100</f>
        <v>7</v>
      </c>
      <c r="AL20" s="8" t="n">
        <f aca="false">AK20/(1+D20/2)^A20</f>
        <v>2.0477259580199</v>
      </c>
      <c r="AM20" s="8" t="n">
        <f aca="false">$C$23/2*100</f>
        <v>7.15</v>
      </c>
      <c r="AN20" s="8" t="n">
        <f aca="false">AM20/(1+D20/2)^A20</f>
        <v>2.09160579997747</v>
      </c>
    </row>
    <row r="21" customFormat="false" ht="16" hidden="false" customHeight="false" outlineLevel="0" collapsed="false">
      <c r="A21" s="3" t="n">
        <v>18</v>
      </c>
      <c r="B21" s="3" t="n">
        <f aca="false">A21/2</f>
        <v>9</v>
      </c>
      <c r="C21" s="6" t="n">
        <v>0.137</v>
      </c>
      <c r="D21" s="7" t="n">
        <v>0.155899892771124</v>
      </c>
      <c r="AH21" s="9" t="n">
        <f aca="false">SUM(AH4:AH20)</f>
        <v>99.9998566633377</v>
      </c>
      <c r="AI21" s="8" t="n">
        <f aca="false">$C$21/2*100+100</f>
        <v>106.85</v>
      </c>
      <c r="AJ21" s="8" t="n">
        <f aca="false">AI21/(1+D21/2)^A21</f>
        <v>27.6694044718014</v>
      </c>
      <c r="AK21" s="8" t="n">
        <f aca="false">$C$22/2*100</f>
        <v>7</v>
      </c>
      <c r="AL21" s="8" t="n">
        <f aca="false">AK21/(1+D21/2)^A21</f>
        <v>1.81268910905578</v>
      </c>
      <c r="AM21" s="8" t="n">
        <f aca="false">$C$23/2*100</f>
        <v>7.15</v>
      </c>
      <c r="AN21" s="8" t="n">
        <f aca="false">AM21/(1+D21/2)^A21</f>
        <v>1.85153244710697</v>
      </c>
    </row>
    <row r="22" customFormat="false" ht="16" hidden="false" customHeight="false" outlineLevel="0" collapsed="false">
      <c r="A22" s="3" t="n">
        <v>19</v>
      </c>
      <c r="B22" s="3" t="n">
        <f aca="false">A22/2</f>
        <v>9.5</v>
      </c>
      <c r="C22" s="6" t="n">
        <v>0.14</v>
      </c>
      <c r="D22" s="7" t="n">
        <v>0.16241291091942</v>
      </c>
      <c r="AJ22" s="9" t="n">
        <f aca="false">SUM(AJ4:AJ21)</f>
        <v>99.9999129102537</v>
      </c>
      <c r="AK22" s="8" t="n">
        <f aca="false">$C$22/2*100+100</f>
        <v>107</v>
      </c>
      <c r="AL22" s="8" t="n">
        <f aca="false">AK22/(1+D22/2)^A22</f>
        <v>24.2727960614905</v>
      </c>
      <c r="AM22" s="8" t="n">
        <f aca="false">$C$23/2*100</f>
        <v>7.15</v>
      </c>
      <c r="AN22" s="8" t="n">
        <f aca="false">AM22/(1+D22/2)^A22</f>
        <v>1.62196721345474</v>
      </c>
    </row>
    <row r="23" customFormat="false" ht="16" hidden="false" customHeight="false" outlineLevel="0" collapsed="false">
      <c r="A23" s="3" t="n">
        <v>20</v>
      </c>
      <c r="B23" s="3" t="n">
        <f aca="false">A23/2</f>
        <v>10</v>
      </c>
      <c r="C23" s="6" t="n">
        <v>0.143</v>
      </c>
      <c r="D23" s="7" t="n">
        <v>0.169649519256642</v>
      </c>
      <c r="AL23" s="9" t="n">
        <f aca="false">SUM(AL4:AL22)</f>
        <v>99.999873355826</v>
      </c>
      <c r="AM23" s="8" t="n">
        <f aca="false">$C$23/2*100+100</f>
        <v>107.15</v>
      </c>
      <c r="AN23" s="8" t="n">
        <f aca="false">AM23/(1+D23/2)^A23</f>
        <v>21.0281176996979</v>
      </c>
    </row>
    <row r="24" customFormat="false" ht="16" hidden="false" customHeight="false" outlineLevel="0" collapsed="false">
      <c r="AN24" s="9" t="n">
        <f aca="false">SUM(AN4:AN23)</f>
        <v>99.9998852923668</v>
      </c>
    </row>
  </sheetData>
  <mergeCells count="1">
    <mergeCell ref="A1:J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2019-06-22T20:36:32Z</dcterms:created>
  <dc:creator>Microsoft Office User</dc:creator>
  <dc:description/>
  <dc:language>en-US</dc:language>
  <cp:lastModifiedBy/>
  <dcterms:modified xsi:type="dcterms:W3CDTF">2019-08-18T15:14:15Z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